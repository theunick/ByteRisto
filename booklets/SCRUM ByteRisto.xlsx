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as/Desktop/engineering in cs/1° anno/lab of advanced programming/ByteRisto/booklets/"/>
    </mc:Choice>
  </mc:AlternateContent>
  <xr:revisionPtr revIDLastSave="0" documentId="13_ncr:1_{0438013B-E29B-3340-A918-0A6BD865ABDC}" xr6:coauthVersionLast="47" xr6:coauthVersionMax="47" xr10:uidLastSave="{00000000-0000-0000-0000-000000000000}"/>
  <bookViews>
    <workbookView xWindow="0" yWindow="680" windowWidth="30240" windowHeight="17160" activeTab="3" xr2:uid="{00000000-000D-0000-FFFF-FFFF00000000}"/>
  </bookViews>
  <sheets>
    <sheet name="Sprint Backlog" sheetId="1" r:id="rId1"/>
    <sheet name="Burndown Chart" sheetId="2" r:id="rId2"/>
    <sheet name="Product Backlog" sheetId="3" r:id="rId3"/>
    <sheet name="Change Log" sheetId="4" r:id="rId4"/>
    <sheet name="Setup" sheetId="5" r:id="rId5"/>
  </sheets>
  <definedNames>
    <definedName name="DTnames">Setup!$E$2:$E$11</definedName>
    <definedName name="PBInames">'Product Backlog'!$A$2:$A$101</definedName>
    <definedName name="PBstatus">Setup!$A$2:$A$11</definedName>
    <definedName name="SBstatus">Setup!$C$2:$C$11</definedName>
    <definedName name="Z_42CAC4A3_DE29_4D5A_A7CA_F32097E4DB13_.wvu.FilterData" localSheetId="0" hidden="1">'Sprint Backlog'!$B$1:$F$104</definedName>
  </definedNames>
  <calcPr calcId="191029"/>
  <customWorkbookViews>
    <customWorkbookView name="Filter 1" guid="{42CAC4A3-DE29-4D5A-A7CA-F32097E4DB13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9" i="2"/>
  <c r="A8" i="2"/>
  <c r="B7" i="2"/>
  <c r="A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</rPr>
          <t>Feature Name
Product Owner: Add the story to the Sprint Backlog
Develpment Team: Assign tasks for completion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</rPr>
          <t>Development Team: Add a short task name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Development Team: Describe the activity and add comments as needed. Add new lines on the same cell with [alt+enter]</t>
        </r>
      </text>
    </comment>
    <comment ref="D1" authorId="0" shapeId="0" xr:uid="{00000000-0006-0000-0000-000004000000}">
      <text>
        <r>
          <rPr>
            <sz val="10"/>
            <color rgb="FF000000"/>
            <rFont val="Arial"/>
          </rPr>
          <t>Development Team: Select your name if you are working on it, remove it if you are not working on it anymore so anyone else can pull the activity.</t>
        </r>
      </text>
    </comment>
    <comment ref="E1" authorId="0" shapeId="0" xr:uid="{00000000-0006-0000-0000-000005000000}">
      <text>
        <r>
          <rPr>
            <sz val="10"/>
            <color rgb="FF000000"/>
            <rFont val="Arial"/>
          </rPr>
          <t>Development Team: Select current status</t>
        </r>
      </text>
    </comment>
    <comment ref="F1" authorId="0" shapeId="0" xr:uid="{00000000-0006-0000-0000-000006000000}">
      <text>
        <r>
          <rPr>
            <sz val="10"/>
            <color rgb="FF000000"/>
            <rFont val="Arial"/>
          </rPr>
          <t>Development Team: Fill the estimated remaining effort (how many horus of work are left to complete the task)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01000000}">
      <text>
        <r>
          <rPr>
            <sz val="10"/>
            <color rgb="FF000000"/>
            <rFont val="Arial"/>
            <family val="2"/>
          </rPr>
          <t xml:space="preserve">Sprint Date
</t>
        </r>
        <r>
          <rPr>
            <sz val="10"/>
            <color rgb="FF000000"/>
            <rFont val="Arial"/>
            <family val="2"/>
          </rPr>
          <t xml:space="preserve">At the beginning of the sprint
</t>
        </r>
        <r>
          <rPr>
            <sz val="10"/>
            <color rgb="FF000000"/>
            <rFont val="Arial"/>
            <family val="2"/>
          </rPr>
          <t>Scrum Master: Assign the dates for the current Sprint</t>
        </r>
      </text>
    </comment>
    <comment ref="A3" authorId="0" shapeId="0" xr:uid="{00000000-0006-0000-0100-000002000000}">
      <text>
        <r>
          <rPr>
            <sz val="10"/>
            <color rgb="FF000000"/>
            <rFont val="Arial"/>
          </rPr>
          <t>Sprint Day
At the beginning of the Sprint
Scrum Master: Write the day number</t>
        </r>
      </text>
    </comment>
    <comment ref="A4" authorId="0" shapeId="0" xr:uid="{00000000-0006-0000-0100-000003000000}">
      <text>
        <r>
          <rPr>
            <sz val="10"/>
            <color rgb="FF000000"/>
            <rFont val="Arial"/>
          </rPr>
          <t>Remaining effort for the respective date.
Scrum Master: Fill manually each sprint day with the remaining effort data.</t>
        </r>
      </text>
    </comment>
    <comment ref="M4" authorId="0" shapeId="0" xr:uid="{00000000-0006-0000-0100-000004000000}">
      <text>
        <r>
          <rPr>
            <sz val="10"/>
            <color rgb="FF000000"/>
            <rFont val="Arial"/>
            <family val="2"/>
          </rPr>
          <t>Scrum Master: Copy this value to the row Real on today's column. with [ctrl+shit+v]</t>
        </r>
      </text>
    </comment>
    <comment ref="A5" authorId="0" shapeId="0" xr:uid="{00000000-0006-0000-0100-000005000000}">
      <text>
        <r>
          <rPr>
            <sz val="10"/>
            <color rgb="FF000000"/>
            <rFont val="Arial"/>
          </rPr>
          <t>Ideal plan to finish on time
At the begining of the sprint
Scrum Master: Drag formula as needed to fill the Sprint</t>
        </r>
      </text>
    </comment>
    <comment ref="A7" authorId="0" shapeId="0" xr:uid="{00000000-0006-0000-0100-000006000000}">
      <text>
        <r>
          <rPr>
            <sz val="10"/>
            <color rgb="FF000000"/>
            <rFont val="Arial"/>
          </rPr>
          <t>Scrum Master: Copy this value to the row Real on today's column. with [ctrl+shit+v]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200-000001000000}">
      <text>
        <r>
          <rPr>
            <sz val="10"/>
            <color rgb="FF000000"/>
            <rFont val="Arial"/>
          </rPr>
          <t>Product Owner: Write the name of the story, drag rows according to priorities</t>
        </r>
      </text>
    </comment>
    <comment ref="B1" authorId="0" shapeId="0" xr:uid="{00000000-0006-0000-0200-000002000000}">
      <text>
        <r>
          <rPr>
            <sz val="10"/>
            <color rgb="FF000000"/>
            <rFont val="Arial"/>
          </rPr>
          <t>Product Owner: Write a detailed description of the story.
Be specific about high priority features
Make new lines in the same cell with [alt+enter]</t>
        </r>
      </text>
    </comment>
    <comment ref="C1" authorId="0" shapeId="0" xr:uid="{00000000-0006-0000-0200-000003000000}">
      <text>
        <r>
          <rPr>
            <sz val="10"/>
            <color rgb="FF000000"/>
            <rFont val="Arial"/>
          </rPr>
          <t>Product Owner: Select current status</t>
        </r>
      </text>
    </comment>
  </commentList>
</comments>
</file>

<file path=xl/sharedStrings.xml><?xml version="1.0" encoding="utf-8"?>
<sst xmlns="http://schemas.openxmlformats.org/spreadsheetml/2006/main" count="631" uniqueCount="297">
  <si>
    <t>PB Name</t>
  </si>
  <si>
    <t>Task Name</t>
  </si>
  <si>
    <t>Description and details</t>
  </si>
  <si>
    <t>Check Out</t>
  </si>
  <si>
    <t>Status</t>
  </si>
  <si>
    <t>Remaining Effort [hr]</t>
  </si>
  <si>
    <t>Menu Browsing &amp; Filtering</t>
  </si>
  <si>
    <t>Design menu display interface</t>
  </si>
  <si>
    <t>Create responsive UI components for menu item display with category filtering</t>
  </si>
  <si>
    <t>Riccardo</t>
  </si>
  <si>
    <t>Done</t>
  </si>
  <si>
    <t>Implement category filtering logic</t>
  </si>
  <si>
    <t>Develop frontend filtering functionality for menu categories</t>
  </si>
  <si>
    <t>Leonardo</t>
  </si>
  <si>
    <t>Create menu API endpoints</t>
  </si>
  <si>
    <t>Build REST API for menu item retrieval and category filtering</t>
  </si>
  <si>
    <t>Giovanni</t>
  </si>
  <si>
    <t>Integrate frontend with backend</t>
  </si>
  <si>
    <t>Connect menu display components with API services</t>
  </si>
  <si>
    <t>Nicolas</t>
  </si>
  <si>
    <t>Add search functionality</t>
  </si>
  <si>
    <t>Implement text-based search within menu items</t>
  </si>
  <si>
    <t>Style menu components</t>
  </si>
  <si>
    <t>Apply CSS styling and responsive design to menu interface</t>
  </si>
  <si>
    <t>Menu Item Details</t>
  </si>
  <si>
    <t>Design item detail modal</t>
  </si>
  <si>
    <t>Create popup/modal component for detailed menu item information</t>
  </si>
  <si>
    <t>Implement allergen display</t>
  </si>
  <si>
    <t>Add allergen and nutritional information display functionality</t>
  </si>
  <si>
    <t>Create detailed item API</t>
  </si>
  <si>
    <t>Build API endpoint for fetching complete menu item details</t>
  </si>
  <si>
    <t>Add image support</t>
  </si>
  <si>
    <t>Implement menu item image display and management</t>
  </si>
  <si>
    <t>Order Creation &amp; Management</t>
  </si>
  <si>
    <t>Design order creation form</t>
  </si>
  <si>
    <t>Create UI for new order creation with table selection</t>
  </si>
  <si>
    <t>Implement item addition logic</t>
  </si>
  <si>
    <t>Develop functionality to add menu items to orders with quantities</t>
  </si>
  <si>
    <t>Add special instructions field</t>
  </si>
  <si>
    <t>Create text input for special cooking instructions</t>
  </si>
  <si>
    <t>Create order API endpoints</t>
  </si>
  <si>
    <t>Build REST API for order creation and item management</t>
  </si>
  <si>
    <t>Implement order validation</t>
  </si>
  <si>
    <t>Add validation logic for order completeness and item availability</t>
  </si>
  <si>
    <t>Add order summary display</t>
  </si>
  <si>
    <t>Create order review component before confirmation</t>
  </si>
  <si>
    <t>Order Filtering &amp; Tracking</t>
  </si>
  <si>
    <t>Design order status filters</t>
  </si>
  <si>
    <t>Create UI components for filtering orders by status</t>
  </si>
  <si>
    <t>Implement table filtering</t>
  </si>
  <si>
    <t>Add functionality to filter orders by table number</t>
  </si>
  <si>
    <t>Add timing display</t>
  </si>
  <si>
    <t>Implement elapsed time and ETA display for orders</t>
  </si>
  <si>
    <t>Create tracking API</t>
  </si>
  <si>
    <t>Build API endpoints for order status and timing tracking</t>
  </si>
  <si>
    <t>Implement real-time updates</t>
  </si>
  <si>
    <t>Add WebSocket/polling for live order status updates</t>
  </si>
  <si>
    <t>Style tracking interface</t>
  </si>
  <si>
    <t>Apply styling to order tracking and filtering components</t>
  </si>
  <si>
    <t>Menu Item Administration</t>
  </si>
  <si>
    <t>Design admin interface</t>
  </si>
  <si>
    <t>Create UI for menu item administration panel</t>
  </si>
  <si>
    <t>Implement CRUD operations</t>
  </si>
  <si>
    <t>Develop create, read, update, delete functionality for menu items</t>
  </si>
  <si>
    <t>Add availability toggle</t>
  </si>
  <si>
    <t>Create toggle switch for menu item availability status</t>
  </si>
  <si>
    <t>Create admin API endpoints</t>
  </si>
  <si>
    <t>Build REST API for menu item administration operations</t>
  </si>
  <si>
    <t>Implement form validation</t>
  </si>
  <si>
    <t>Add validation for menu item creation and editing forms</t>
  </si>
  <si>
    <t>Add bulk operations</t>
  </si>
  <si>
    <t>Implement bulk edit and delete functionality for menu items</t>
  </si>
  <si>
    <t>Kitchen Queue Management</t>
  </si>
  <si>
    <t>Design kitchen display</t>
  </si>
  <si>
    <t>Create dedicated kitchen interface for order queue</t>
  </si>
  <si>
    <t>Implement chronological sorting</t>
  </si>
  <si>
    <t>Develop order sorting by creation time and priority</t>
  </si>
  <si>
    <t>Add order details view</t>
  </si>
  <si>
    <t>Create expandable view for complete order information</t>
  </si>
  <si>
    <t>Create kitchen API</t>
  </si>
  <si>
    <t>Build API endpoints for kitchen order management</t>
  </si>
  <si>
    <t>Implement auto-refresh</t>
  </si>
  <si>
    <t>Add automatic refresh functionality for kitchen display</t>
  </si>
  <si>
    <t>Add sound notifications</t>
  </si>
  <si>
    <t>Implement audio alerts for new orders</t>
  </si>
  <si>
    <t>Kitchen Status Control</t>
  </si>
  <si>
    <t>Design status update controls</t>
  </si>
  <si>
    <t>Create buttons and controls for order status changes</t>
  </si>
  <si>
    <t>Implement status transitions</t>
  </si>
  <si>
    <t>Develop logic for order status progression workflow</t>
  </si>
  <si>
    <t>Add preparation filtering</t>
  </si>
  <si>
    <t>Create filters for orders by preparation stage</t>
  </si>
  <si>
    <t>Create status API</t>
  </si>
  <si>
    <t>Build API endpoints for order status management</t>
  </si>
  <si>
    <t>Implement status validation</t>
  </si>
  <si>
    <t>Add validation for status transition rules</t>
  </si>
  <si>
    <t>Add status history</t>
  </si>
  <si>
    <t>Implement tracking of status change history</t>
  </si>
  <si>
    <t>Payment Processing</t>
  </si>
  <si>
    <t>Design payment interface</t>
  </si>
  <si>
    <t>Create UI for payment processing with method selection</t>
  </si>
  <si>
    <t>Implement cash payment</t>
  </si>
  <si>
    <t>Develop cash payment processing workflow</t>
  </si>
  <si>
    <t>Implement card payment</t>
  </si>
  <si>
    <t>Develop card payment processing integration</t>
  </si>
  <si>
    <t>Add payment filtering</t>
  </si>
  <si>
    <t>Create filters for payment-ready orders by table</t>
  </si>
  <si>
    <t>Create payment API</t>
  </si>
  <si>
    <t>Build API endpoints for payment transaction processing</t>
  </si>
  <si>
    <t>Add receipt generation</t>
  </si>
  <si>
    <t>Implement receipt creation and printing functionality</t>
  </si>
  <si>
    <t>Payment Summary</t>
  </si>
  <si>
    <t>Design summary display</t>
  </si>
  <si>
    <t>Create detailed order breakdown interface</t>
  </si>
  <si>
    <t>Implement total calculations</t>
  </si>
  <si>
    <t>Develop automatic calculation of totals, taxes, and discounts</t>
  </si>
  <si>
    <t>Add itemized breakdown</t>
  </si>
  <si>
    <t>Create detailed list of ordered items with prices</t>
  </si>
  <si>
    <t>Create summary API</t>
  </si>
  <si>
    <t>Build API endpoints for payment summary data</t>
  </si>
  <si>
    <t>Implement print functionality</t>
  </si>
  <si>
    <t>Add printing capability for payment summaries</t>
  </si>
  <si>
    <t>Add payment confirmation</t>
  </si>
  <si>
    <t>Create confirmation dialog and success feedback</t>
  </si>
  <si>
    <t>Management Analytics</t>
  </si>
  <si>
    <t>Design analytics dashboard</t>
  </si>
  <si>
    <t>Create management interface for performance metrics</t>
  </si>
  <si>
    <t>Implement real-time statistics</t>
  </si>
  <si>
    <t>Develop live order count and status statistics</t>
  </si>
  <si>
    <t>Add historical data view</t>
  </si>
  <si>
    <t>Create interface for viewing past order performance</t>
  </si>
  <si>
    <t>Create analytics API</t>
  </si>
  <si>
    <t>Build API endpoints for management data and statistics</t>
  </si>
  <si>
    <t>Implement data visualization</t>
  </si>
  <si>
    <t>Add charts and graphs for performance metrics</t>
  </si>
  <si>
    <t>Add export functionality</t>
  </si>
  <si>
    <t>Create data export features for reporting</t>
  </si>
  <si>
    <t>System Data Management</t>
  </si>
  <si>
    <t>Develop automatic data refresh mechanisms</t>
  </si>
  <si>
    <t>Add manual refresh controls</t>
  </si>
  <si>
    <t>Create user-triggered refresh buttons and functionality</t>
  </si>
  <si>
    <t>Implement data caching</t>
  </si>
  <si>
    <t>Add intelligent caching for improved performance</t>
  </si>
  <si>
    <t>Create refresh API</t>
  </si>
  <si>
    <t>Build API endpoints for data refresh operations</t>
  </si>
  <si>
    <t>Add refresh indicators</t>
  </si>
  <si>
    <t>Implement loading states and refresh status indicators</t>
  </si>
  <si>
    <t>Implement error handling</t>
  </si>
  <si>
    <t>Add robust error handling for data refresh failures</t>
  </si>
  <si>
    <t>Role-Based Access</t>
  </si>
  <si>
    <t>Design role selector</t>
  </si>
  <si>
    <t>Create interface for switching between user roles</t>
  </si>
  <si>
    <t>Implement role permissions</t>
  </si>
  <si>
    <t>Develop permission system for different user roles</t>
  </si>
  <si>
    <t>Add role validation</t>
  </si>
  <si>
    <t>Create validation logic for role-based access control</t>
  </si>
  <si>
    <t>Create authentication API</t>
  </si>
  <si>
    <t>Build API endpoints for user authentication and authorization</t>
  </si>
  <si>
    <t>Implement session management</t>
  </si>
  <si>
    <t>Add user session handling and persistence</t>
  </si>
  <si>
    <t>Add role-based UI</t>
  </si>
  <si>
    <t>Create dynamic UI adaptation based on user role</t>
  </si>
  <si>
    <t>Database Setup</t>
  </si>
  <si>
    <t>Design database schema</t>
  </si>
  <si>
    <t>Create complete database structure for all entities</t>
  </si>
  <si>
    <t>Implement data models</t>
  </si>
  <si>
    <t>Develop ORM models for all database entities</t>
  </si>
  <si>
    <t>Create migration scripts</t>
  </si>
  <si>
    <t>Build database migration and seeding scripts</t>
  </si>
  <si>
    <t>Add database indexing</t>
  </si>
  <si>
    <t>Implement database indexes for performance optimization</t>
  </si>
  <si>
    <t>Setup database connections</t>
  </si>
  <si>
    <t>Configure database connection pooling and management</t>
  </si>
  <si>
    <t>Implement backup strategy</t>
  </si>
  <si>
    <t>Create automated database backup and recovery procedures</t>
  </si>
  <si>
    <t>API Gateway Setup</t>
  </si>
  <si>
    <t>Design API architecture</t>
  </si>
  <si>
    <t>Plan microservices API structure and endpoints</t>
  </si>
  <si>
    <t>Implement API gateway</t>
  </si>
  <si>
    <t>Develop central API gateway for request routing</t>
  </si>
  <si>
    <t>Add request logging</t>
  </si>
  <si>
    <t>Implement comprehensive API request and response logging</t>
  </si>
  <si>
    <t>Setup rate limiting</t>
  </si>
  <si>
    <t>Add API rate limiting and throttling mechanisms</t>
  </si>
  <si>
    <t>Implement CORS handling</t>
  </si>
  <si>
    <t>Configure cross-origin resource sharing policies</t>
  </si>
  <si>
    <t>Add API documentation</t>
  </si>
  <si>
    <t>Create comprehensive API documentation and testing interface</t>
  </si>
  <si>
    <t>Testing &amp; Quality</t>
  </si>
  <si>
    <t>Write unit tests</t>
  </si>
  <si>
    <t>Create comprehensive unit test coverage for all components</t>
  </si>
  <si>
    <t>Implement integration tests</t>
  </si>
  <si>
    <t>Develop integration tests for API and database interactions</t>
  </si>
  <si>
    <t>Add end-to-end tests</t>
  </si>
  <si>
    <t>Create automated E2E tests for complete user workflows</t>
  </si>
  <si>
    <t>Setup CI/CD pipeline</t>
  </si>
  <si>
    <t>Implement continuous integration and deployment workflows</t>
  </si>
  <si>
    <t>Add code quality checks</t>
  </si>
  <si>
    <t>Implement linting, formatting, and code quality standards</t>
  </si>
  <si>
    <t>Performance testing</t>
  </si>
  <si>
    <t>Conduct load testing and performance optimization</t>
  </si>
  <si>
    <t>Deployment &amp; DevOps</t>
  </si>
  <si>
    <t>Setup Docker containers</t>
  </si>
  <si>
    <t>Create Docker configurations for all services</t>
  </si>
  <si>
    <t>Implement container orchestration</t>
  </si>
  <si>
    <t>Setup Docker Compose for multi-service deployment</t>
  </si>
  <si>
    <t>Add monitoring and logging</t>
  </si>
  <si>
    <t>Implement application monitoring and centralized logging</t>
  </si>
  <si>
    <t>Setup production environment</t>
  </si>
  <si>
    <t>Configure production deployment infrastructure</t>
  </si>
  <si>
    <t>Implement health checks</t>
  </si>
  <si>
    <t>Add service health monitoring and alerting</t>
  </si>
  <si>
    <t>Create deployment scripts</t>
  </si>
  <si>
    <t>Develop automated deployment and rollback procedures</t>
  </si>
  <si>
    <t>Documentation</t>
  </si>
  <si>
    <t>Write technical documentation</t>
  </si>
  <si>
    <t>Create comprehensive technical documentation for developers</t>
  </si>
  <si>
    <t>Create user manuals</t>
  </si>
  <si>
    <t>Develop user guides for each role in the system</t>
  </si>
  <si>
    <t>Create detailed API reference documentation</t>
  </si>
  <si>
    <t>Write deployment guide</t>
  </si>
  <si>
    <t>Create step-by-step deployment and setup instructions</t>
  </si>
  <si>
    <t>Add troubleshooting guide</t>
  </si>
  <si>
    <t>Create common issues and solutions documentation</t>
  </si>
  <si>
    <t>Create project README</t>
  </si>
  <si>
    <t>Write comprehensive project overview and getting started guide</t>
  </si>
  <si>
    <t>Date</t>
  </si>
  <si>
    <t>Day</t>
  </si>
  <si>
    <t>Real</t>
  </si>
  <si>
    <t>Plan</t>
  </si>
  <si>
    <t>Number of days in sprint</t>
  </si>
  <si>
    <t>Story Name</t>
  </si>
  <si>
    <t>Story Description</t>
  </si>
  <si>
    <t>View and filter restaurant menu items by category (appetizers, main dishes, desserts, beverages, side dishes) with descriptions and prices</t>
  </si>
  <si>
    <t>Display detailed information about menu items including allergens and nutritional information</t>
  </si>
  <si>
    <t>Create new orders for specific tables and add menu items with quantities and special cooking instructions</t>
  </si>
  <si>
    <t>Filter orders by status and table number with elapsed time and estimated completion tracking</t>
  </si>
  <si>
    <t>Add, modify, delete menu items and toggle availability status with complete details and pricing</t>
  </si>
  <si>
    <t>Display incoming orders in chronological order with preparation status updates and order details</t>
  </si>
  <si>
    <t>Mark orders as "preparing" and "ready" status with filtering by preparation stage on kitchen display</t>
  </si>
  <si>
    <t>Process cash and card payments for ready orders with filtering by table number</t>
  </si>
  <si>
    <t>Display detailed order breakdown with total amounts for payment verification</t>
  </si>
  <si>
    <t>View real-time order statistics, counts, and historical order data for performance analysis</t>
  </si>
  <si>
    <t>Enable automatic and manual refresh of order and menu data for real-time updates</t>
  </si>
  <si>
    <t>Access and switch between all system roles (customer, waiter, chef, cashier, manager) for operational oversight</t>
  </si>
  <si>
    <t>Version</t>
  </si>
  <si>
    <t>Changes</t>
  </si>
  <si>
    <t>Author</t>
  </si>
  <si>
    <t>v0.1.0</t>
  </si>
  <si>
    <t>Project initiation and repository setup</t>
  </si>
  <si>
    <t>v0.2.0</t>
  </si>
  <si>
    <t>Core microservices architecture implementation and API Gateway setup</t>
  </si>
  <si>
    <t>v0.2.1</t>
  </si>
  <si>
    <t>Docker-compose configuration fixes and deployment optimization</t>
  </si>
  <si>
    <t>v0.3.0</t>
  </si>
  <si>
    <t>Backend service refactoring to Flask framework and project rebranding</t>
  </si>
  <si>
    <t>v1.0.0</t>
  </si>
  <si>
    <t>Release 1.0: Frontend MVP - React application with core UI components</t>
  </si>
  <si>
    <t>v1.1.0</t>
  </si>
  <si>
    <t>Menu management system with real-time updates</t>
  </si>
  <si>
    <t>v1.1.1</t>
  </si>
  <si>
    <t xml:space="preserve">Real-time update implementation </t>
  </si>
  <si>
    <t>v1.2.0</t>
  </si>
  <si>
    <t>Order management system and billing workflow implementation</t>
  </si>
  <si>
    <t>v1.2.1</t>
  </si>
  <si>
    <t>Docker fix for optimal fit with Node's services in frontend</t>
  </si>
  <si>
    <t>v1.3.0</t>
  </si>
  <si>
    <t xml:space="preserve">API-gateway implementation and Docker integration </t>
  </si>
  <si>
    <t>v1.3.1</t>
  </si>
  <si>
    <t>Menu-inventory implementation and Docker integration</t>
  </si>
  <si>
    <t>v1.3.2</t>
  </si>
  <si>
    <t>Order-management implementation and Docker integration</t>
  </si>
  <si>
    <t>v1.4.0</t>
  </si>
  <si>
    <t>UX/UI design and dashboard functionality implementation</t>
  </si>
  <si>
    <t>v1.4.1</t>
  </si>
  <si>
    <t>Role-based access control and authentication system</t>
  </si>
  <si>
    <t>v1.4.2</t>
  </si>
  <si>
    <t>Roles update</t>
  </si>
  <si>
    <t>v2.0.0</t>
  </si>
  <si>
    <t>Release 2.0: Complete implementation and README final update</t>
  </si>
  <si>
    <t>v2.1.0</t>
  </si>
  <si>
    <t>Mock-up added</t>
  </si>
  <si>
    <t>v2.2.0</t>
  </si>
  <si>
    <t>Added test folder</t>
  </si>
  <si>
    <t>v2.3.0</t>
  </si>
  <si>
    <t>Added DataMetrics.json</t>
  </si>
  <si>
    <t>v2.4.0</t>
  </si>
  <si>
    <t>Final patch and minor fixes</t>
  </si>
  <si>
    <t>Product Backlog Status Options</t>
  </si>
  <si>
    <t>Spring Backlog Status Options</t>
  </si>
  <si>
    <t>Development Team</t>
  </si>
  <si>
    <t>Not To Do</t>
  </si>
  <si>
    <t>To Do</t>
  </si>
  <si>
    <t>Doing</t>
  </si>
  <si>
    <t>OK</t>
  </si>
  <si>
    <t>v2.5.0</t>
  </si>
  <si>
    <t>Booklets patch &amp; Presentation ByteRisto uploaded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</si>
</sst>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&quot;/&quot;m"/>
    <numFmt numFmtId="165" formatCode="d/m;@"/>
    <numFmt numFmtId="166" formatCode="dd/mm/yy;@"/>
  </numFmts>
  <fonts count="8" x14ac:knownFonts="1">
    <font>
      <sz val="10"/>
      <color rgb="FF000000"/>
      <name val="Arial"/>
    </font>
    <font>
      <sz val="10"/>
      <name val="Arial"/>
    </font>
    <font>
      <sz val="10"/>
      <name val="Roboto"/>
    </font>
    <font>
      <sz val="10"/>
      <color rgb="FF000000"/>
      <name val="Roboto"/>
    </font>
    <font>
      <u/>
      <sz val="10"/>
      <color rgb="FF0000FF"/>
      <name val="Arial"/>
    </font>
    <font>
      <sz val="10"/>
      <color rgb="FF000000"/>
      <name val="Arial"/>
      <family val="2"/>
    </font>
    <font>
      <sz val="1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</fills>
  <borders count="2">
    <border>
      <left/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49" fontId="1" fillId="0" borderId="0" xfId="0" applyNumberFormat="1" applyFont="1" applyAlignment="1">
      <alignment wrapText="1"/>
    </xf>
    <xf numFmtId="49" fontId="1" fillId="0" borderId="0" xfId="0" applyNumberFormat="1" applyFont="1"/>
    <xf numFmtId="0" fontId="1" fillId="2" borderId="0" xfId="0" applyFont="1" applyFill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2" fillId="0" borderId="0" xfId="0" applyNumberFormat="1" applyFont="1" applyAlignment="1">
      <alignment wrapText="1"/>
    </xf>
    <xf numFmtId="165" fontId="3" fillId="0" borderId="1" xfId="0" applyNumberFormat="1" applyFont="1" applyBorder="1" applyAlignment="1">
      <alignment horizontal="left"/>
    </xf>
    <xf numFmtId="165" fontId="3" fillId="0" borderId="0" xfId="0" applyNumberFormat="1" applyFont="1" applyAlignment="1">
      <alignment horizontal="right"/>
    </xf>
    <xf numFmtId="165" fontId="0" fillId="0" borderId="0" xfId="0" applyNumberFormat="1"/>
    <xf numFmtId="0" fontId="6" fillId="0" borderId="0" xfId="0" applyFont="1"/>
    <xf numFmtId="0" fontId="0" fillId="0" borderId="0" xfId="0" applyAlignment="1">
      <alignment vertical="justify"/>
    </xf>
    <xf numFmtId="0" fontId="6" fillId="0" borderId="0" xfId="0" applyFont="1" applyAlignment="1">
      <alignment wrapText="1"/>
    </xf>
    <xf numFmtId="166" fontId="1" fillId="0" borderId="0" xfId="0" applyNumberFormat="1" applyFont="1" applyAlignment="1">
      <alignment wrapText="1"/>
    </xf>
    <xf numFmtId="166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  <xf numFmtId="0" fontId="4" fillId="0" borderId="0" xfId="0" applyFont="1"/>
  </cellXfs>
  <cellStyles count="1">
    <cellStyle name="Normale" xfId="0" builtinId="0"/>
  </cellStyles>
  <dxfs count="24">
    <dxf>
      <font>
        <color rgb="FFB7B7B7"/>
      </font>
      <fill>
        <patternFill patternType="none"/>
      </fill>
    </dxf>
    <dxf>
      <font>
        <color rgb="FF000000"/>
      </font>
      <fill>
        <patternFill patternType="none"/>
      </fill>
    </dxf>
    <dxf>
      <numFmt numFmtId="166" formatCode="dd/mm/yy;@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BC34A"/>
          <bgColor rgb="FF8BC34A"/>
        </patternFill>
      </fill>
    </dxf>
  </dxfs>
  <tableStyles count="7">
    <tableStyle name="Sprint Backlog-style" pivot="0" count="3" xr9:uid="{00000000-0011-0000-FFFF-FFFF00000000}">
      <tableStyleElement type="headerRow" dxfId="23"/>
      <tableStyleElement type="firstRowStripe" dxfId="22"/>
      <tableStyleElement type="secondRowStripe" dxfId="21"/>
    </tableStyle>
    <tableStyle name="Burndown Chart-style" pivot="0" count="3" xr9:uid="{00000000-0011-0000-FFFF-FFFF01000000}">
      <tableStyleElement type="headerRow" dxfId="20"/>
      <tableStyleElement type="firstRowStripe" dxfId="19"/>
      <tableStyleElement type="secondRowStripe" dxfId="18"/>
    </tableStyle>
    <tableStyle name="Product Backlog-style" pivot="0" count="3" xr9:uid="{00000000-0011-0000-FFFF-FFFF02000000}">
      <tableStyleElement type="headerRow" dxfId="17"/>
      <tableStyleElement type="firstRowStripe" dxfId="16"/>
      <tableStyleElement type="secondRowStripe" dxfId="15"/>
    </tableStyle>
    <tableStyle name="Change Log-style" pivot="0" count="3" xr9:uid="{00000000-0011-0000-FFFF-FFFF03000000}">
      <tableStyleElement type="headerRow" dxfId="14"/>
      <tableStyleElement type="firstRowStripe" dxfId="13"/>
      <tableStyleElement type="secondRowStripe" dxfId="12"/>
    </tableStyle>
    <tableStyle name="Setup-style" pivot="0" count="3" xr9:uid="{00000000-0011-0000-FFFF-FFFF04000000}">
      <tableStyleElement type="headerRow" dxfId="11"/>
      <tableStyleElement type="firstRowStripe" dxfId="10"/>
      <tableStyleElement type="secondRowStripe" dxfId="9"/>
    </tableStyle>
    <tableStyle name="Setup-style 2" pivot="0" count="3" xr9:uid="{00000000-0011-0000-FFFF-FFFF05000000}">
      <tableStyleElement type="headerRow" dxfId="8"/>
      <tableStyleElement type="firstRowStripe" dxfId="7"/>
      <tableStyleElement type="secondRowStripe" dxfId="6"/>
    </tableStyle>
    <tableStyle name="Setup-style 3" pivot="0" count="3" xr9:uid="{00000000-0011-0000-FFFF-FFFF06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title>
      <c:tx>
        <c:rich>
          <a:bodyPr/>
          <a:lstStyle/>
          <a:p>
            <a:pPr lvl="0">
              <a:defRPr sz="1600" b="1">
                <a:solidFill>
                  <a:srgbClr val="000000"/>
                </a:solidFill>
                <a:latin typeface="Roboto"/>
              </a:defRPr>
            </a:pPr>
            <a:r>
              <a:rPr lang="it-IT" sz="1600" b="1">
                <a:solidFill>
                  <a:srgbClr val="000000"/>
                </a:solidFill>
                <a:latin typeface="Roboto"/>
              </a:rPr>
              <a:t>Burndown Chart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8.634E-2"/>
          <c:y val="0.19086"/>
          <c:w val="0.87224999999999997"/>
          <c:h val="0.61828000000000005"/>
        </c:manualLayout>
      </c:layout>
      <c:lineChart>
        <c:grouping val="standard"/>
        <c:varyColors val="1"/>
        <c:ser>
          <c:idx val="0"/>
          <c:order val="0"/>
          <c:tx>
            <c:strRef>
              <c:f>'Burndown Chart'!$A$4</c:f>
              <c:strCache>
                <c:ptCount val="1"/>
                <c:pt idx="0">
                  <c:v>Real</c:v>
                </c:pt>
              </c:strCache>
            </c:strRef>
          </c:tx>
          <c:spPr>
            <a:ln w="19050" cmpd="sng">
              <a:solidFill>
                <a:srgbClr val="4285F4"/>
              </a:solidFill>
            </a:ln>
          </c:spPr>
          <c:marker>
            <c:symbol val="none"/>
          </c:marker>
          <c:trendline>
            <c:name>Trend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numRef>
              <c:f>'Burndown Chart'!$B$3:$O$3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cat>
          <c:val>
            <c:numRef>
              <c:f>'Burndown Chart'!$B$4:$O$4</c:f>
              <c:numCache>
                <c:formatCode>0</c:formatCode>
                <c:ptCount val="14"/>
                <c:pt idx="0">
                  <c:v>26</c:v>
                </c:pt>
                <c:pt idx="1">
                  <c:v>24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16</c:v>
                </c:pt>
                <c:pt idx="6">
                  <c:v>12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59-6744-86BC-94EFB1BA4DB8}"/>
            </c:ext>
          </c:extLst>
        </c:ser>
        <c:ser>
          <c:idx val="1"/>
          <c:order val="1"/>
          <c:tx>
            <c:strRef>
              <c:f>'Burndown Chart'!$A$5</c:f>
              <c:strCache>
                <c:ptCount val="1"/>
                <c:pt idx="0">
                  <c:v>Plan</c:v>
                </c:pt>
              </c:strCache>
            </c:strRef>
          </c:tx>
          <c:spPr>
            <a:ln w="9525" cmpd="sng">
              <a:solidFill>
                <a:srgbClr val="DB4437"/>
              </a:solidFill>
            </a:ln>
          </c:spPr>
          <c:marker>
            <c:symbol val="none"/>
          </c:marker>
          <c:cat>
            <c:numRef>
              <c:f>'Burndown Chart'!$B$3:$O$3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cat>
          <c:val>
            <c:numRef>
              <c:f>'Burndown Chart'!$B$5:$O$5</c:f>
              <c:numCache>
                <c:formatCode>0</c:formatCode>
                <c:ptCount val="14"/>
                <c:pt idx="0">
                  <c:v>26</c:v>
                </c:pt>
                <c:pt idx="1">
                  <c:v>24</c:v>
                </c:pt>
                <c:pt idx="2">
                  <c:v>22</c:v>
                </c:pt>
                <c:pt idx="3">
                  <c:v>20</c:v>
                </c:pt>
                <c:pt idx="4">
                  <c:v>18</c:v>
                </c:pt>
                <c:pt idx="5">
                  <c:v>16</c:v>
                </c:pt>
                <c:pt idx="6">
                  <c:v>14</c:v>
                </c:pt>
                <c:pt idx="7">
                  <c:v>12</c:v>
                </c:pt>
                <c:pt idx="8">
                  <c:v>10</c:v>
                </c:pt>
                <c:pt idx="9">
                  <c:v>8</c:v>
                </c:pt>
                <c:pt idx="10">
                  <c:v>6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59-6744-86BC-94EFB1BA4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889715"/>
        <c:axId val="188132783"/>
      </c:lineChart>
      <c:catAx>
        <c:axId val="6988897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lang="it-IT" b="0">
                    <a:solidFill>
                      <a:srgbClr val="000000"/>
                    </a:solidFill>
                    <a:latin typeface="Roboto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endParaRPr lang="it-IT"/>
          </a:p>
        </c:txPr>
        <c:crossAx val="188132783"/>
        <c:crosses val="autoZero"/>
        <c:auto val="1"/>
        <c:lblAlgn val="ctr"/>
        <c:lblOffset val="100"/>
        <c:noMultiLvlLbl val="1"/>
      </c:catAx>
      <c:valAx>
        <c:axId val="188132783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lang="it-IT" b="0">
                    <a:solidFill>
                      <a:srgbClr val="000000"/>
                    </a:solidFill>
                    <a:latin typeface="Roboto"/>
                  </a:rPr>
                  <a:t>Remaining effort [hr]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endParaRPr lang="it-IT"/>
          </a:p>
        </c:txPr>
        <c:crossAx val="69888971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  <a:endParaRPr lang="it-I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12700</xdr:rowOff>
    </xdr:from>
    <xdr:ext cx="6629400" cy="374332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F104">
  <tableColumns count="6">
    <tableColumn id="1" xr3:uid="{00000000-0010-0000-0000-000001000000}" name="PB Name"/>
    <tableColumn id="2" xr3:uid="{00000000-0010-0000-0000-000002000000}" name="Task Name"/>
    <tableColumn id="3" xr3:uid="{00000000-0010-0000-0000-000003000000}" name="Description and details"/>
    <tableColumn id="4" xr3:uid="{00000000-0010-0000-0000-000004000000}" name="Check Out"/>
    <tableColumn id="5" xr3:uid="{00000000-0010-0000-0000-000005000000}" name="Status"/>
    <tableColumn id="6" xr3:uid="{00000000-0010-0000-0000-000006000000}" name="Remaining Effort [hr]"/>
  </tableColumns>
  <tableStyleInfo name="Sprint Back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P5" headerRowCount="0">
  <tableColumns count="16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</tableColumns>
  <tableStyleInfo name="Burndown Chart-style" showFirstColumn="1" showLastColumn="1" showRowStripes="0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C101">
  <tableColumns count="3">
    <tableColumn id="1" xr3:uid="{00000000-0010-0000-0200-000001000000}" name="Story Name"/>
    <tableColumn id="2" xr3:uid="{00000000-0010-0000-0200-000002000000}" name="Story Description"/>
    <tableColumn id="3" xr3:uid="{00000000-0010-0000-0200-000003000000}" name="Status"/>
  </tableColumns>
  <tableStyleInfo name="Product Backlo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D22">
  <tableColumns count="4">
    <tableColumn id="1" xr3:uid="{00000000-0010-0000-0300-000001000000}" name="Version"/>
    <tableColumn id="2" xr3:uid="{00000000-0010-0000-0300-000002000000}" name="Date" dataDxfId="2"/>
    <tableColumn id="3" xr3:uid="{00000000-0010-0000-0300-000003000000}" name="Changes"/>
    <tableColumn id="4" xr3:uid="{00000000-0010-0000-0300-000004000000}" name="Author"/>
  </tableColumns>
  <tableStyleInfo name="Change Log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A11">
  <tableColumns count="1">
    <tableColumn id="1" xr3:uid="{00000000-0010-0000-0400-000001000000}" name="Product Backlog Status Options"/>
  </tableColumns>
  <tableStyleInfo name="Setup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C1:C11">
  <tableColumns count="1">
    <tableColumn id="1" xr3:uid="{00000000-0010-0000-0500-000001000000}" name="Spring Backlog Status Options"/>
  </tableColumns>
  <tableStyleInfo name="Setup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E1:E11">
  <tableColumns count="1">
    <tableColumn id="1" xr3:uid="{00000000-0010-0000-0600-000001000000}" name="Development Team"/>
  </tableColumns>
  <tableStyleInfo name="Setup-style 3" showFirstColumn="1" showLastColumn="1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3C47D"/>
    <outlinePr summaryBelow="0" summaryRight="0"/>
  </sheetPr>
  <dimension ref="A1:G104"/>
  <sheetViews>
    <sheetView showGridLines="0" zoomScale="200" zoomScaleNormal="200" workbookViewId="0">
      <pane ySplit="1" topLeftCell="A2" activePane="bottomLeft" state="frozen"/>
      <selection pane="bottomLeft" activeCell="G4" sqref="G4"/>
    </sheetView>
  </sheetViews>
  <sheetFormatPr baseColWidth="10" defaultColWidth="12.6640625" defaultRowHeight="13" x14ac:dyDescent="0.15"/>
  <cols>
    <col min="1" max="1" width="15.33203125" customWidth="1"/>
    <col min="2" max="2" width="26.1640625" customWidth="1"/>
    <col min="3" max="3" width="29.6640625" customWidth="1"/>
    <col min="4" max="4" width="15.1640625" customWidth="1"/>
    <col min="5" max="5" width="9.1640625" customWidth="1"/>
    <col min="6" max="6" width="9.83203125" customWidth="1"/>
  </cols>
  <sheetData>
    <row r="1" spans="1:7" ht="28" x14ac:dyDescent="0.15">
      <c r="A1" s="1" t="s">
        <v>0</v>
      </c>
      <c r="B1" s="1" t="s">
        <v>1</v>
      </c>
      <c r="C1" s="16" t="s">
        <v>2</v>
      </c>
      <c r="D1" s="1" t="s">
        <v>3</v>
      </c>
      <c r="E1" s="1" t="s">
        <v>4</v>
      </c>
      <c r="F1" s="2" t="s">
        <v>5</v>
      </c>
    </row>
    <row r="2" spans="1:7" ht="42" customHeight="1" x14ac:dyDescent="0.15">
      <c r="A2" s="3" t="s">
        <v>6</v>
      </c>
      <c r="B2" s="1" t="s">
        <v>7</v>
      </c>
      <c r="C2" s="2" t="s">
        <v>8</v>
      </c>
      <c r="D2" s="1" t="s">
        <v>9</v>
      </c>
      <c r="E2" s="4" t="s">
        <v>10</v>
      </c>
      <c r="F2" s="5">
        <v>0</v>
      </c>
    </row>
    <row r="3" spans="1:7" ht="28" x14ac:dyDescent="0.15">
      <c r="A3" s="3" t="s">
        <v>6</v>
      </c>
      <c r="B3" s="1" t="s">
        <v>11</v>
      </c>
      <c r="C3" s="2" t="s">
        <v>12</v>
      </c>
      <c r="D3" s="1" t="s">
        <v>13</v>
      </c>
      <c r="E3" s="4" t="s">
        <v>10</v>
      </c>
      <c r="F3" s="5">
        <v>0</v>
      </c>
    </row>
    <row r="4" spans="1:7" ht="28" x14ac:dyDescent="0.15">
      <c r="A4" s="3" t="s">
        <v>6</v>
      </c>
      <c r="B4" s="1" t="s">
        <v>14</v>
      </c>
      <c r="C4" s="2" t="s">
        <v>15</v>
      </c>
      <c r="D4" s="1" t="s">
        <v>16</v>
      </c>
      <c r="E4" s="4" t="s">
        <v>10</v>
      </c>
      <c r="F4" s="5">
        <v>0</v>
      </c>
    </row>
    <row r="5" spans="1:7" ht="28" x14ac:dyDescent="0.15">
      <c r="A5" s="3" t="s">
        <v>6</v>
      </c>
      <c r="B5" s="1" t="s">
        <v>17</v>
      </c>
      <c r="C5" s="2" t="s">
        <v>18</v>
      </c>
      <c r="D5" s="1" t="s">
        <v>19</v>
      </c>
      <c r="E5" s="4" t="s">
        <v>10</v>
      </c>
      <c r="F5" s="5">
        <v>0</v>
      </c>
    </row>
    <row r="6" spans="1:7" ht="28" x14ac:dyDescent="0.15">
      <c r="A6" s="3" t="s">
        <v>6</v>
      </c>
      <c r="B6" s="1" t="s">
        <v>20</v>
      </c>
      <c r="C6" s="2" t="s">
        <v>21</v>
      </c>
      <c r="D6" s="1" t="s">
        <v>13</v>
      </c>
      <c r="E6" s="4" t="s">
        <v>10</v>
      </c>
      <c r="F6" s="5">
        <v>0</v>
      </c>
    </row>
    <row r="7" spans="1:7" ht="28" x14ac:dyDescent="0.15">
      <c r="A7" s="3" t="s">
        <v>6</v>
      </c>
      <c r="B7" s="1" t="s">
        <v>22</v>
      </c>
      <c r="C7" s="2" t="s">
        <v>23</v>
      </c>
      <c r="D7" s="1" t="s">
        <v>16</v>
      </c>
      <c r="E7" s="4" t="s">
        <v>10</v>
      </c>
      <c r="F7" s="5">
        <v>0</v>
      </c>
    </row>
    <row r="8" spans="1:7" ht="28" x14ac:dyDescent="0.15">
      <c r="A8" s="3" t="s">
        <v>24</v>
      </c>
      <c r="B8" s="1" t="s">
        <v>25</v>
      </c>
      <c r="C8" s="2" t="s">
        <v>26</v>
      </c>
      <c r="D8" s="1" t="s">
        <v>19</v>
      </c>
      <c r="E8" s="4" t="s">
        <v>10</v>
      </c>
      <c r="F8" s="5">
        <v>0</v>
      </c>
    </row>
    <row r="9" spans="1:7" ht="28" x14ac:dyDescent="0.15">
      <c r="A9" s="3" t="s">
        <v>24</v>
      </c>
      <c r="B9" s="1" t="s">
        <v>27</v>
      </c>
      <c r="C9" s="2" t="s">
        <v>28</v>
      </c>
      <c r="D9" s="1" t="s">
        <v>9</v>
      </c>
      <c r="E9" s="4" t="s">
        <v>10</v>
      </c>
      <c r="F9" s="5">
        <v>0</v>
      </c>
    </row>
    <row r="10" spans="1:7" ht="28" x14ac:dyDescent="0.15">
      <c r="A10" s="3" t="s">
        <v>24</v>
      </c>
      <c r="B10" s="1" t="s">
        <v>29</v>
      </c>
      <c r="C10" s="2" t="s">
        <v>30</v>
      </c>
      <c r="D10" s="1" t="s">
        <v>16</v>
      </c>
      <c r="E10" s="4" t="s">
        <v>10</v>
      </c>
      <c r="F10" s="5">
        <v>0</v>
      </c>
      <c r="G10" s="17"/>
    </row>
    <row r="11" spans="1:7" ht="28" x14ac:dyDescent="0.15">
      <c r="A11" s="3" t="s">
        <v>24</v>
      </c>
      <c r="B11" s="1" t="s">
        <v>31</v>
      </c>
      <c r="C11" s="2" t="s">
        <v>32</v>
      </c>
      <c r="D11" s="1" t="s">
        <v>19</v>
      </c>
      <c r="E11" s="4" t="s">
        <v>10</v>
      </c>
      <c r="F11" s="5">
        <v>0</v>
      </c>
    </row>
    <row r="12" spans="1:7" ht="28" x14ac:dyDescent="0.15">
      <c r="A12" s="3" t="s">
        <v>33</v>
      </c>
      <c r="B12" s="1" t="s">
        <v>34</v>
      </c>
      <c r="C12" s="2" t="s">
        <v>35</v>
      </c>
      <c r="D12" s="1" t="s">
        <v>9</v>
      </c>
      <c r="E12" s="4" t="s">
        <v>10</v>
      </c>
      <c r="F12" s="5">
        <v>0</v>
      </c>
    </row>
    <row r="13" spans="1:7" ht="28" x14ac:dyDescent="0.15">
      <c r="A13" s="3" t="s">
        <v>33</v>
      </c>
      <c r="B13" s="1" t="s">
        <v>36</v>
      </c>
      <c r="C13" s="2" t="s">
        <v>37</v>
      </c>
      <c r="D13" s="1" t="s">
        <v>13</v>
      </c>
      <c r="E13" s="4" t="s">
        <v>10</v>
      </c>
      <c r="F13" s="5">
        <v>0</v>
      </c>
    </row>
    <row r="14" spans="1:7" ht="28" x14ac:dyDescent="0.15">
      <c r="A14" s="3" t="s">
        <v>33</v>
      </c>
      <c r="B14" s="1" t="s">
        <v>38</v>
      </c>
      <c r="C14" s="2" t="s">
        <v>39</v>
      </c>
      <c r="D14" s="1" t="s">
        <v>19</v>
      </c>
      <c r="E14" s="4" t="s">
        <v>10</v>
      </c>
      <c r="F14" s="5">
        <v>0</v>
      </c>
    </row>
    <row r="15" spans="1:7" ht="28" x14ac:dyDescent="0.15">
      <c r="A15" s="3" t="s">
        <v>33</v>
      </c>
      <c r="B15" s="1" t="s">
        <v>40</v>
      </c>
      <c r="C15" s="2" t="s">
        <v>41</v>
      </c>
      <c r="D15" s="1" t="s">
        <v>9</v>
      </c>
      <c r="E15" s="4" t="s">
        <v>10</v>
      </c>
      <c r="F15" s="5">
        <v>0</v>
      </c>
    </row>
    <row r="16" spans="1:7" ht="28" x14ac:dyDescent="0.15">
      <c r="A16" s="3" t="s">
        <v>33</v>
      </c>
      <c r="B16" s="1" t="s">
        <v>42</v>
      </c>
      <c r="C16" s="2" t="s">
        <v>43</v>
      </c>
      <c r="D16" s="1" t="s">
        <v>13</v>
      </c>
      <c r="E16" s="4" t="s">
        <v>10</v>
      </c>
      <c r="F16" s="5">
        <v>0</v>
      </c>
    </row>
    <row r="17" spans="1:6" ht="28" x14ac:dyDescent="0.15">
      <c r="A17" s="3" t="s">
        <v>33</v>
      </c>
      <c r="B17" s="1" t="s">
        <v>44</v>
      </c>
      <c r="C17" s="2" t="s">
        <v>45</v>
      </c>
      <c r="D17" s="1" t="s">
        <v>16</v>
      </c>
      <c r="E17" s="4" t="s">
        <v>10</v>
      </c>
      <c r="F17" s="5">
        <v>0</v>
      </c>
    </row>
    <row r="18" spans="1:6" ht="28" x14ac:dyDescent="0.15">
      <c r="A18" s="3" t="s">
        <v>46</v>
      </c>
      <c r="B18" s="1" t="s">
        <v>47</v>
      </c>
      <c r="C18" s="2" t="s">
        <v>48</v>
      </c>
      <c r="D18" s="1" t="s">
        <v>9</v>
      </c>
      <c r="E18" s="4" t="s">
        <v>10</v>
      </c>
      <c r="F18" s="5">
        <v>0</v>
      </c>
    </row>
    <row r="19" spans="1:6" ht="28" x14ac:dyDescent="0.15">
      <c r="A19" s="3" t="s">
        <v>46</v>
      </c>
      <c r="B19" s="1" t="s">
        <v>49</v>
      </c>
      <c r="C19" s="2" t="s">
        <v>50</v>
      </c>
      <c r="D19" s="1" t="s">
        <v>13</v>
      </c>
      <c r="E19" s="4" t="s">
        <v>10</v>
      </c>
      <c r="F19" s="5">
        <v>0</v>
      </c>
    </row>
    <row r="20" spans="1:6" ht="28" x14ac:dyDescent="0.15">
      <c r="A20" s="3" t="s">
        <v>46</v>
      </c>
      <c r="B20" s="1" t="s">
        <v>51</v>
      </c>
      <c r="C20" s="2" t="s">
        <v>52</v>
      </c>
      <c r="D20" s="1" t="s">
        <v>16</v>
      </c>
      <c r="E20" s="4" t="s">
        <v>10</v>
      </c>
      <c r="F20" s="5">
        <v>0</v>
      </c>
    </row>
    <row r="21" spans="1:6" ht="28" x14ac:dyDescent="0.15">
      <c r="A21" s="3" t="s">
        <v>46</v>
      </c>
      <c r="B21" s="1" t="s">
        <v>53</v>
      </c>
      <c r="C21" s="2" t="s">
        <v>54</v>
      </c>
      <c r="D21" s="1" t="s">
        <v>19</v>
      </c>
      <c r="E21" s="4" t="s">
        <v>10</v>
      </c>
      <c r="F21" s="5">
        <v>0</v>
      </c>
    </row>
    <row r="22" spans="1:6" ht="28" x14ac:dyDescent="0.15">
      <c r="A22" s="3" t="s">
        <v>46</v>
      </c>
      <c r="B22" s="1" t="s">
        <v>55</v>
      </c>
      <c r="C22" s="2" t="s">
        <v>56</v>
      </c>
      <c r="D22" s="1" t="s">
        <v>13</v>
      </c>
      <c r="E22" s="4" t="s">
        <v>10</v>
      </c>
      <c r="F22" s="5">
        <v>0</v>
      </c>
    </row>
    <row r="23" spans="1:6" ht="28" x14ac:dyDescent="0.15">
      <c r="A23" s="3" t="s">
        <v>46</v>
      </c>
      <c r="B23" s="1" t="s">
        <v>57</v>
      </c>
      <c r="C23" s="2" t="s">
        <v>58</v>
      </c>
      <c r="D23" s="1" t="s">
        <v>16</v>
      </c>
      <c r="E23" s="4" t="s">
        <v>10</v>
      </c>
      <c r="F23" s="5">
        <v>0</v>
      </c>
    </row>
    <row r="24" spans="1:6" ht="28" x14ac:dyDescent="0.15">
      <c r="A24" s="3" t="s">
        <v>59</v>
      </c>
      <c r="B24" s="1" t="s">
        <v>60</v>
      </c>
      <c r="C24" s="2" t="s">
        <v>61</v>
      </c>
      <c r="D24" s="1" t="s">
        <v>19</v>
      </c>
      <c r="E24" s="4" t="s">
        <v>10</v>
      </c>
      <c r="F24" s="5">
        <v>0</v>
      </c>
    </row>
    <row r="25" spans="1:6" ht="28" x14ac:dyDescent="0.15">
      <c r="A25" s="3" t="s">
        <v>59</v>
      </c>
      <c r="B25" s="1" t="s">
        <v>62</v>
      </c>
      <c r="C25" s="2" t="s">
        <v>63</v>
      </c>
      <c r="D25" s="1" t="s">
        <v>9</v>
      </c>
      <c r="E25" s="4" t="s">
        <v>10</v>
      </c>
      <c r="F25" s="5">
        <v>0</v>
      </c>
    </row>
    <row r="26" spans="1:6" ht="28" x14ac:dyDescent="0.15">
      <c r="A26" s="3" t="s">
        <v>59</v>
      </c>
      <c r="B26" s="1" t="s">
        <v>64</v>
      </c>
      <c r="C26" s="2" t="s">
        <v>65</v>
      </c>
      <c r="D26" s="1" t="s">
        <v>16</v>
      </c>
      <c r="E26" s="4" t="s">
        <v>10</v>
      </c>
      <c r="F26" s="5">
        <v>0</v>
      </c>
    </row>
    <row r="27" spans="1:6" ht="28" x14ac:dyDescent="0.15">
      <c r="A27" s="3" t="s">
        <v>59</v>
      </c>
      <c r="B27" s="1" t="s">
        <v>66</v>
      </c>
      <c r="C27" s="2" t="s">
        <v>67</v>
      </c>
      <c r="D27" s="1" t="s">
        <v>19</v>
      </c>
      <c r="E27" s="4" t="s">
        <v>10</v>
      </c>
      <c r="F27" s="5">
        <v>0</v>
      </c>
    </row>
    <row r="28" spans="1:6" ht="28" x14ac:dyDescent="0.15">
      <c r="A28" s="3" t="s">
        <v>59</v>
      </c>
      <c r="B28" s="1" t="s">
        <v>68</v>
      </c>
      <c r="C28" s="2" t="s">
        <v>69</v>
      </c>
      <c r="D28" s="1" t="s">
        <v>9</v>
      </c>
      <c r="E28" s="4" t="s">
        <v>10</v>
      </c>
      <c r="F28" s="5">
        <v>0</v>
      </c>
    </row>
    <row r="29" spans="1:6" ht="28" x14ac:dyDescent="0.15">
      <c r="A29" s="3" t="s">
        <v>59</v>
      </c>
      <c r="B29" s="1" t="s">
        <v>70</v>
      </c>
      <c r="C29" s="2" t="s">
        <v>71</v>
      </c>
      <c r="D29" s="1" t="s">
        <v>13</v>
      </c>
      <c r="E29" s="4" t="s">
        <v>10</v>
      </c>
      <c r="F29" s="5">
        <v>0</v>
      </c>
    </row>
    <row r="30" spans="1:6" ht="28" x14ac:dyDescent="0.15">
      <c r="A30" s="3" t="s">
        <v>72</v>
      </c>
      <c r="B30" s="1" t="s">
        <v>73</v>
      </c>
      <c r="C30" s="2" t="s">
        <v>74</v>
      </c>
      <c r="D30" s="1" t="s">
        <v>19</v>
      </c>
      <c r="E30" s="4" t="s">
        <v>10</v>
      </c>
      <c r="F30" s="5">
        <v>0</v>
      </c>
    </row>
    <row r="31" spans="1:6" ht="28" x14ac:dyDescent="0.15">
      <c r="A31" s="3" t="s">
        <v>72</v>
      </c>
      <c r="B31" s="1" t="s">
        <v>75</v>
      </c>
      <c r="C31" s="2" t="s">
        <v>76</v>
      </c>
      <c r="D31" s="1" t="s">
        <v>9</v>
      </c>
      <c r="E31" s="4" t="s">
        <v>10</v>
      </c>
      <c r="F31" s="5">
        <v>0</v>
      </c>
    </row>
    <row r="32" spans="1:6" ht="28" x14ac:dyDescent="0.15">
      <c r="A32" s="3" t="s">
        <v>72</v>
      </c>
      <c r="B32" s="1" t="s">
        <v>77</v>
      </c>
      <c r="C32" s="2" t="s">
        <v>78</v>
      </c>
      <c r="D32" s="1" t="s">
        <v>13</v>
      </c>
      <c r="E32" s="4" t="s">
        <v>10</v>
      </c>
      <c r="F32" s="5">
        <v>0</v>
      </c>
    </row>
    <row r="33" spans="1:6" ht="28" x14ac:dyDescent="0.15">
      <c r="A33" s="3" t="s">
        <v>72</v>
      </c>
      <c r="B33" s="1" t="s">
        <v>79</v>
      </c>
      <c r="C33" s="2" t="s">
        <v>80</v>
      </c>
      <c r="D33" s="1" t="s">
        <v>16</v>
      </c>
      <c r="E33" s="4" t="s">
        <v>10</v>
      </c>
      <c r="F33" s="5">
        <v>0</v>
      </c>
    </row>
    <row r="34" spans="1:6" ht="28" x14ac:dyDescent="0.15">
      <c r="A34" s="3" t="s">
        <v>72</v>
      </c>
      <c r="B34" s="1" t="s">
        <v>81</v>
      </c>
      <c r="C34" s="2" t="s">
        <v>82</v>
      </c>
      <c r="D34" s="1" t="s">
        <v>9</v>
      </c>
      <c r="E34" s="4" t="s">
        <v>10</v>
      </c>
      <c r="F34" s="5">
        <v>0</v>
      </c>
    </row>
    <row r="35" spans="1:6" ht="28" x14ac:dyDescent="0.15">
      <c r="A35" s="3" t="s">
        <v>72</v>
      </c>
      <c r="B35" s="1" t="s">
        <v>83</v>
      </c>
      <c r="C35" s="2" t="s">
        <v>84</v>
      </c>
      <c r="D35" s="1" t="s">
        <v>13</v>
      </c>
      <c r="E35" s="4" t="s">
        <v>10</v>
      </c>
      <c r="F35" s="5">
        <v>0</v>
      </c>
    </row>
    <row r="36" spans="1:6" ht="28" x14ac:dyDescent="0.15">
      <c r="A36" s="3" t="s">
        <v>85</v>
      </c>
      <c r="B36" s="1" t="s">
        <v>86</v>
      </c>
      <c r="C36" s="2" t="s">
        <v>87</v>
      </c>
      <c r="D36" s="1" t="s">
        <v>16</v>
      </c>
      <c r="E36" s="4" t="s">
        <v>10</v>
      </c>
      <c r="F36" s="5">
        <v>0</v>
      </c>
    </row>
    <row r="37" spans="1:6" ht="28" x14ac:dyDescent="0.15">
      <c r="A37" s="3" t="s">
        <v>85</v>
      </c>
      <c r="B37" s="1" t="s">
        <v>88</v>
      </c>
      <c r="C37" s="2" t="s">
        <v>89</v>
      </c>
      <c r="D37" s="1" t="s">
        <v>19</v>
      </c>
      <c r="E37" s="4" t="s">
        <v>10</v>
      </c>
      <c r="F37" s="5">
        <v>0</v>
      </c>
    </row>
    <row r="38" spans="1:6" ht="28" x14ac:dyDescent="0.15">
      <c r="A38" s="3" t="s">
        <v>85</v>
      </c>
      <c r="B38" s="1" t="s">
        <v>90</v>
      </c>
      <c r="C38" s="2" t="s">
        <v>91</v>
      </c>
      <c r="D38" s="1" t="s">
        <v>13</v>
      </c>
      <c r="E38" s="4" t="s">
        <v>10</v>
      </c>
      <c r="F38" s="5">
        <v>0</v>
      </c>
    </row>
    <row r="39" spans="1:6" ht="28" x14ac:dyDescent="0.15">
      <c r="A39" s="3" t="s">
        <v>85</v>
      </c>
      <c r="B39" s="1" t="s">
        <v>92</v>
      </c>
      <c r="C39" s="2" t="s">
        <v>93</v>
      </c>
      <c r="D39" s="1" t="s">
        <v>16</v>
      </c>
      <c r="E39" s="4" t="s">
        <v>10</v>
      </c>
      <c r="F39" s="5">
        <v>0</v>
      </c>
    </row>
    <row r="40" spans="1:6" ht="28" x14ac:dyDescent="0.15">
      <c r="A40" s="3" t="s">
        <v>85</v>
      </c>
      <c r="B40" s="1" t="s">
        <v>94</v>
      </c>
      <c r="C40" s="2" t="s">
        <v>95</v>
      </c>
      <c r="D40" s="1" t="s">
        <v>19</v>
      </c>
      <c r="E40" s="4" t="s">
        <v>10</v>
      </c>
      <c r="F40" s="5">
        <v>0</v>
      </c>
    </row>
    <row r="41" spans="1:6" ht="28" x14ac:dyDescent="0.15">
      <c r="A41" s="3" t="s">
        <v>85</v>
      </c>
      <c r="B41" s="1" t="s">
        <v>96</v>
      </c>
      <c r="C41" s="2" t="s">
        <v>97</v>
      </c>
      <c r="D41" s="1" t="s">
        <v>9</v>
      </c>
      <c r="E41" s="4" t="s">
        <v>10</v>
      </c>
      <c r="F41" s="5">
        <v>0</v>
      </c>
    </row>
    <row r="42" spans="1:6" ht="28" x14ac:dyDescent="0.15">
      <c r="A42" s="3" t="s">
        <v>98</v>
      </c>
      <c r="B42" s="1" t="s">
        <v>99</v>
      </c>
      <c r="C42" s="2" t="s">
        <v>100</v>
      </c>
      <c r="D42" s="1" t="s">
        <v>16</v>
      </c>
      <c r="E42" s="4" t="s">
        <v>10</v>
      </c>
      <c r="F42" s="5">
        <v>0</v>
      </c>
    </row>
    <row r="43" spans="1:6" ht="28" x14ac:dyDescent="0.15">
      <c r="A43" s="3" t="s">
        <v>98</v>
      </c>
      <c r="B43" s="1" t="s">
        <v>101</v>
      </c>
      <c r="C43" s="2" t="s">
        <v>102</v>
      </c>
      <c r="D43" s="1" t="s">
        <v>19</v>
      </c>
      <c r="E43" s="4" t="s">
        <v>10</v>
      </c>
      <c r="F43" s="5">
        <v>0</v>
      </c>
    </row>
    <row r="44" spans="1:6" ht="28" x14ac:dyDescent="0.15">
      <c r="A44" s="3" t="s">
        <v>98</v>
      </c>
      <c r="B44" s="1" t="s">
        <v>103</v>
      </c>
      <c r="C44" s="2" t="s">
        <v>104</v>
      </c>
      <c r="D44" s="1" t="s">
        <v>9</v>
      </c>
      <c r="E44" s="4" t="s">
        <v>10</v>
      </c>
      <c r="F44" s="5">
        <v>0</v>
      </c>
    </row>
    <row r="45" spans="1:6" ht="28" x14ac:dyDescent="0.15">
      <c r="A45" s="3" t="s">
        <v>98</v>
      </c>
      <c r="B45" s="1" t="s">
        <v>105</v>
      </c>
      <c r="C45" s="2" t="s">
        <v>106</v>
      </c>
      <c r="D45" s="1" t="s">
        <v>13</v>
      </c>
      <c r="E45" s="4" t="s">
        <v>10</v>
      </c>
      <c r="F45" s="5">
        <v>0</v>
      </c>
    </row>
    <row r="46" spans="1:6" ht="28" x14ac:dyDescent="0.15">
      <c r="A46" s="3" t="s">
        <v>98</v>
      </c>
      <c r="B46" s="1" t="s">
        <v>107</v>
      </c>
      <c r="C46" s="2" t="s">
        <v>108</v>
      </c>
      <c r="D46" s="1" t="s">
        <v>19</v>
      </c>
      <c r="E46" s="4" t="s">
        <v>10</v>
      </c>
      <c r="F46" s="5">
        <v>0</v>
      </c>
    </row>
    <row r="47" spans="1:6" ht="28" x14ac:dyDescent="0.15">
      <c r="A47" s="3" t="s">
        <v>98</v>
      </c>
      <c r="B47" s="1" t="s">
        <v>109</v>
      </c>
      <c r="C47" s="2" t="s">
        <v>110</v>
      </c>
      <c r="D47" s="1" t="s">
        <v>9</v>
      </c>
      <c r="E47" s="4" t="s">
        <v>10</v>
      </c>
      <c r="F47" s="5">
        <v>0</v>
      </c>
    </row>
    <row r="48" spans="1:6" ht="28" x14ac:dyDescent="0.15">
      <c r="A48" s="3" t="s">
        <v>111</v>
      </c>
      <c r="B48" s="1" t="s">
        <v>112</v>
      </c>
      <c r="C48" s="2" t="s">
        <v>113</v>
      </c>
      <c r="D48" s="1" t="s">
        <v>13</v>
      </c>
      <c r="E48" s="4" t="s">
        <v>10</v>
      </c>
      <c r="F48" s="5">
        <v>0</v>
      </c>
    </row>
    <row r="49" spans="1:6" ht="28" x14ac:dyDescent="0.15">
      <c r="A49" s="3" t="s">
        <v>111</v>
      </c>
      <c r="B49" s="1" t="s">
        <v>114</v>
      </c>
      <c r="C49" s="2" t="s">
        <v>115</v>
      </c>
      <c r="D49" s="1" t="s">
        <v>16</v>
      </c>
      <c r="E49" s="4" t="s">
        <v>10</v>
      </c>
      <c r="F49" s="5">
        <v>0</v>
      </c>
    </row>
    <row r="50" spans="1:6" ht="28" x14ac:dyDescent="0.15">
      <c r="A50" s="3" t="s">
        <v>111</v>
      </c>
      <c r="B50" s="1" t="s">
        <v>116</v>
      </c>
      <c r="C50" s="2" t="s">
        <v>117</v>
      </c>
      <c r="D50" s="1" t="s">
        <v>9</v>
      </c>
      <c r="E50" s="4" t="s">
        <v>10</v>
      </c>
      <c r="F50" s="5">
        <v>0</v>
      </c>
    </row>
    <row r="51" spans="1:6" ht="28" x14ac:dyDescent="0.15">
      <c r="A51" s="3" t="s">
        <v>111</v>
      </c>
      <c r="B51" s="1" t="s">
        <v>118</v>
      </c>
      <c r="C51" s="2" t="s">
        <v>119</v>
      </c>
      <c r="D51" s="1" t="s">
        <v>13</v>
      </c>
      <c r="E51" s="4" t="s">
        <v>10</v>
      </c>
      <c r="F51" s="5">
        <v>0</v>
      </c>
    </row>
    <row r="52" spans="1:6" ht="28" x14ac:dyDescent="0.15">
      <c r="A52" s="3" t="s">
        <v>111</v>
      </c>
      <c r="B52" s="1" t="s">
        <v>120</v>
      </c>
      <c r="C52" s="2" t="s">
        <v>121</v>
      </c>
      <c r="D52" s="1" t="s">
        <v>16</v>
      </c>
      <c r="E52" s="4" t="s">
        <v>10</v>
      </c>
      <c r="F52" s="5">
        <v>0</v>
      </c>
    </row>
    <row r="53" spans="1:6" ht="28" x14ac:dyDescent="0.15">
      <c r="A53" s="3" t="s">
        <v>111</v>
      </c>
      <c r="B53" s="1" t="s">
        <v>122</v>
      </c>
      <c r="C53" s="2" t="s">
        <v>123</v>
      </c>
      <c r="D53" s="1" t="s">
        <v>19</v>
      </c>
      <c r="E53" s="4" t="s">
        <v>10</v>
      </c>
      <c r="F53" s="5">
        <v>0</v>
      </c>
    </row>
    <row r="54" spans="1:6" ht="28" x14ac:dyDescent="0.15">
      <c r="A54" s="3" t="s">
        <v>124</v>
      </c>
      <c r="B54" s="1" t="s">
        <v>125</v>
      </c>
      <c r="C54" s="2" t="s">
        <v>126</v>
      </c>
      <c r="D54" s="1" t="s">
        <v>13</v>
      </c>
      <c r="E54" s="4" t="s">
        <v>10</v>
      </c>
      <c r="F54" s="5">
        <v>0</v>
      </c>
    </row>
    <row r="55" spans="1:6" ht="28" x14ac:dyDescent="0.15">
      <c r="A55" s="3" t="s">
        <v>124</v>
      </c>
      <c r="B55" s="1" t="s">
        <v>127</v>
      </c>
      <c r="C55" s="2" t="s">
        <v>128</v>
      </c>
      <c r="D55" s="1" t="s">
        <v>16</v>
      </c>
      <c r="E55" s="4" t="s">
        <v>10</v>
      </c>
      <c r="F55" s="5">
        <v>0</v>
      </c>
    </row>
    <row r="56" spans="1:6" ht="28" x14ac:dyDescent="0.15">
      <c r="A56" s="3" t="s">
        <v>124</v>
      </c>
      <c r="B56" s="1" t="s">
        <v>129</v>
      </c>
      <c r="C56" s="2" t="s">
        <v>130</v>
      </c>
      <c r="D56" s="1" t="s">
        <v>19</v>
      </c>
      <c r="E56" s="4" t="s">
        <v>10</v>
      </c>
      <c r="F56" s="5">
        <v>0</v>
      </c>
    </row>
    <row r="57" spans="1:6" ht="28" x14ac:dyDescent="0.15">
      <c r="A57" s="3" t="s">
        <v>124</v>
      </c>
      <c r="B57" s="1" t="s">
        <v>131</v>
      </c>
      <c r="C57" s="2" t="s">
        <v>132</v>
      </c>
      <c r="D57" s="1" t="s">
        <v>9</v>
      </c>
      <c r="E57" s="4" t="s">
        <v>10</v>
      </c>
      <c r="F57" s="5">
        <v>0</v>
      </c>
    </row>
    <row r="58" spans="1:6" ht="28" x14ac:dyDescent="0.15">
      <c r="A58" s="3" t="s">
        <v>124</v>
      </c>
      <c r="B58" s="1" t="s">
        <v>133</v>
      </c>
      <c r="C58" s="2" t="s">
        <v>134</v>
      </c>
      <c r="D58" s="1" t="s">
        <v>16</v>
      </c>
      <c r="E58" s="4" t="s">
        <v>10</v>
      </c>
      <c r="F58" s="5">
        <v>0</v>
      </c>
    </row>
    <row r="59" spans="1:6" ht="28" x14ac:dyDescent="0.15">
      <c r="A59" s="3" t="s">
        <v>124</v>
      </c>
      <c r="B59" s="1" t="s">
        <v>135</v>
      </c>
      <c r="C59" s="2" t="s">
        <v>136</v>
      </c>
      <c r="D59" s="1" t="s">
        <v>19</v>
      </c>
      <c r="E59" s="4" t="s">
        <v>10</v>
      </c>
      <c r="F59" s="5">
        <v>0</v>
      </c>
    </row>
    <row r="60" spans="1:6" ht="28" x14ac:dyDescent="0.15">
      <c r="A60" s="3" t="s">
        <v>137</v>
      </c>
      <c r="B60" s="1" t="s">
        <v>81</v>
      </c>
      <c r="C60" s="2" t="s">
        <v>138</v>
      </c>
      <c r="D60" s="1" t="s">
        <v>9</v>
      </c>
      <c r="E60" s="4" t="s">
        <v>10</v>
      </c>
      <c r="F60" s="5">
        <v>0</v>
      </c>
    </row>
    <row r="61" spans="1:6" ht="28" x14ac:dyDescent="0.15">
      <c r="A61" s="3" t="s">
        <v>137</v>
      </c>
      <c r="B61" s="1" t="s">
        <v>139</v>
      </c>
      <c r="C61" s="2" t="s">
        <v>140</v>
      </c>
      <c r="D61" s="1" t="s">
        <v>13</v>
      </c>
      <c r="E61" s="4" t="s">
        <v>10</v>
      </c>
      <c r="F61" s="5">
        <v>0</v>
      </c>
    </row>
    <row r="62" spans="1:6" ht="28" x14ac:dyDescent="0.15">
      <c r="A62" s="3" t="s">
        <v>137</v>
      </c>
      <c r="B62" s="1" t="s">
        <v>141</v>
      </c>
      <c r="C62" s="2" t="s">
        <v>142</v>
      </c>
      <c r="D62" s="1" t="s">
        <v>19</v>
      </c>
      <c r="E62" s="4" t="s">
        <v>10</v>
      </c>
      <c r="F62" s="5">
        <v>0</v>
      </c>
    </row>
    <row r="63" spans="1:6" ht="28" x14ac:dyDescent="0.15">
      <c r="A63" s="3" t="s">
        <v>137</v>
      </c>
      <c r="B63" s="1" t="s">
        <v>143</v>
      </c>
      <c r="C63" s="2" t="s">
        <v>144</v>
      </c>
      <c r="D63" s="1" t="s">
        <v>9</v>
      </c>
      <c r="E63" s="4" t="s">
        <v>10</v>
      </c>
      <c r="F63" s="5">
        <v>0</v>
      </c>
    </row>
    <row r="64" spans="1:6" ht="28" x14ac:dyDescent="0.15">
      <c r="A64" s="3" t="s">
        <v>137</v>
      </c>
      <c r="B64" s="1" t="s">
        <v>145</v>
      </c>
      <c r="C64" s="2" t="s">
        <v>146</v>
      </c>
      <c r="D64" s="1" t="s">
        <v>13</v>
      </c>
      <c r="E64" s="4" t="s">
        <v>10</v>
      </c>
      <c r="F64" s="5">
        <v>0</v>
      </c>
    </row>
    <row r="65" spans="1:6" ht="28" x14ac:dyDescent="0.15">
      <c r="A65" s="3" t="s">
        <v>137</v>
      </c>
      <c r="B65" s="1" t="s">
        <v>147</v>
      </c>
      <c r="C65" s="2" t="s">
        <v>148</v>
      </c>
      <c r="D65" s="1" t="s">
        <v>16</v>
      </c>
      <c r="E65" s="4" t="s">
        <v>10</v>
      </c>
      <c r="F65" s="5">
        <v>0</v>
      </c>
    </row>
    <row r="66" spans="1:6" ht="28" x14ac:dyDescent="0.15">
      <c r="A66" s="3" t="s">
        <v>149</v>
      </c>
      <c r="B66" s="1" t="s">
        <v>150</v>
      </c>
      <c r="C66" s="2" t="s">
        <v>151</v>
      </c>
      <c r="D66" s="1" t="s">
        <v>9</v>
      </c>
      <c r="E66" s="4" t="s">
        <v>10</v>
      </c>
      <c r="F66" s="5">
        <v>0</v>
      </c>
    </row>
    <row r="67" spans="1:6" ht="28" x14ac:dyDescent="0.15">
      <c r="A67" s="3" t="s">
        <v>149</v>
      </c>
      <c r="B67" s="1" t="s">
        <v>152</v>
      </c>
      <c r="C67" s="2" t="s">
        <v>153</v>
      </c>
      <c r="D67" s="1" t="s">
        <v>13</v>
      </c>
      <c r="E67" s="4" t="s">
        <v>10</v>
      </c>
      <c r="F67" s="5">
        <v>0</v>
      </c>
    </row>
    <row r="68" spans="1:6" ht="28" x14ac:dyDescent="0.15">
      <c r="A68" s="3" t="s">
        <v>149</v>
      </c>
      <c r="B68" s="1" t="s">
        <v>154</v>
      </c>
      <c r="C68" s="2" t="s">
        <v>155</v>
      </c>
      <c r="D68" s="1" t="s">
        <v>16</v>
      </c>
      <c r="E68" s="4" t="s">
        <v>10</v>
      </c>
      <c r="F68" s="5">
        <v>0</v>
      </c>
    </row>
    <row r="69" spans="1:6" ht="28" x14ac:dyDescent="0.15">
      <c r="A69" s="3" t="s">
        <v>149</v>
      </c>
      <c r="B69" s="1" t="s">
        <v>156</v>
      </c>
      <c r="C69" s="2" t="s">
        <v>157</v>
      </c>
      <c r="D69" s="1" t="s">
        <v>19</v>
      </c>
      <c r="E69" s="4" t="s">
        <v>10</v>
      </c>
      <c r="F69" s="5">
        <v>0</v>
      </c>
    </row>
    <row r="70" spans="1:6" ht="28" x14ac:dyDescent="0.15">
      <c r="A70" s="3" t="s">
        <v>149</v>
      </c>
      <c r="B70" s="1" t="s">
        <v>158</v>
      </c>
      <c r="C70" s="2" t="s">
        <v>159</v>
      </c>
      <c r="D70" s="1" t="s">
        <v>13</v>
      </c>
      <c r="E70" s="4" t="s">
        <v>10</v>
      </c>
      <c r="F70" s="5">
        <v>0</v>
      </c>
    </row>
    <row r="71" spans="1:6" ht="28" x14ac:dyDescent="0.15">
      <c r="A71" s="3" t="s">
        <v>149</v>
      </c>
      <c r="B71" s="1" t="s">
        <v>160</v>
      </c>
      <c r="C71" s="2" t="s">
        <v>161</v>
      </c>
      <c r="D71" s="1" t="s">
        <v>16</v>
      </c>
      <c r="E71" s="4" t="s">
        <v>10</v>
      </c>
      <c r="F71" s="5">
        <v>0</v>
      </c>
    </row>
    <row r="72" spans="1:6" ht="28" x14ac:dyDescent="0.15">
      <c r="A72" s="3" t="s">
        <v>162</v>
      </c>
      <c r="B72" s="1" t="s">
        <v>163</v>
      </c>
      <c r="C72" s="2" t="s">
        <v>164</v>
      </c>
      <c r="D72" s="1" t="s">
        <v>19</v>
      </c>
      <c r="E72" s="4" t="s">
        <v>10</v>
      </c>
      <c r="F72" s="5">
        <v>0</v>
      </c>
    </row>
    <row r="73" spans="1:6" ht="28" x14ac:dyDescent="0.15">
      <c r="A73" s="3" t="s">
        <v>162</v>
      </c>
      <c r="B73" s="1" t="s">
        <v>165</v>
      </c>
      <c r="C73" s="2" t="s">
        <v>166</v>
      </c>
      <c r="D73" s="1" t="s">
        <v>9</v>
      </c>
      <c r="E73" s="4" t="s">
        <v>10</v>
      </c>
      <c r="F73" s="5">
        <v>0</v>
      </c>
    </row>
    <row r="74" spans="1:6" ht="28" x14ac:dyDescent="0.15">
      <c r="A74" s="3" t="s">
        <v>162</v>
      </c>
      <c r="B74" s="1" t="s">
        <v>167</v>
      </c>
      <c r="C74" s="2" t="s">
        <v>168</v>
      </c>
      <c r="D74" s="1" t="s">
        <v>16</v>
      </c>
      <c r="E74" s="4" t="s">
        <v>10</v>
      </c>
      <c r="F74" s="5">
        <v>0</v>
      </c>
    </row>
    <row r="75" spans="1:6" ht="28" x14ac:dyDescent="0.15">
      <c r="A75" s="3" t="s">
        <v>162</v>
      </c>
      <c r="B75" s="1" t="s">
        <v>169</v>
      </c>
      <c r="C75" s="2" t="s">
        <v>170</v>
      </c>
      <c r="D75" s="1" t="s">
        <v>19</v>
      </c>
      <c r="E75" s="4" t="s">
        <v>10</v>
      </c>
      <c r="F75" s="5">
        <v>0</v>
      </c>
    </row>
    <row r="76" spans="1:6" ht="28" x14ac:dyDescent="0.15">
      <c r="A76" s="3" t="s">
        <v>162</v>
      </c>
      <c r="B76" s="1" t="s">
        <v>171</v>
      </c>
      <c r="C76" s="2" t="s">
        <v>172</v>
      </c>
      <c r="D76" s="1" t="s">
        <v>9</v>
      </c>
      <c r="E76" s="4" t="s">
        <v>10</v>
      </c>
      <c r="F76" s="5">
        <v>0</v>
      </c>
    </row>
    <row r="77" spans="1:6" ht="28" x14ac:dyDescent="0.15">
      <c r="A77" s="3" t="s">
        <v>162</v>
      </c>
      <c r="B77" s="1" t="s">
        <v>173</v>
      </c>
      <c r="C77" s="2" t="s">
        <v>174</v>
      </c>
      <c r="D77" s="1" t="s">
        <v>13</v>
      </c>
      <c r="E77" s="4" t="s">
        <v>10</v>
      </c>
      <c r="F77" s="5">
        <v>0</v>
      </c>
    </row>
    <row r="78" spans="1:6" ht="28" x14ac:dyDescent="0.15">
      <c r="A78" s="3" t="s">
        <v>175</v>
      </c>
      <c r="B78" s="1" t="s">
        <v>176</v>
      </c>
      <c r="C78" s="2" t="s">
        <v>177</v>
      </c>
      <c r="D78" s="1" t="s">
        <v>19</v>
      </c>
      <c r="E78" s="4" t="s">
        <v>10</v>
      </c>
      <c r="F78" s="5">
        <v>0</v>
      </c>
    </row>
    <row r="79" spans="1:6" ht="28" x14ac:dyDescent="0.15">
      <c r="A79" s="3" t="s">
        <v>175</v>
      </c>
      <c r="B79" s="1" t="s">
        <v>178</v>
      </c>
      <c r="C79" s="2" t="s">
        <v>179</v>
      </c>
      <c r="D79" s="1" t="s">
        <v>9</v>
      </c>
      <c r="E79" s="4" t="s">
        <v>10</v>
      </c>
      <c r="F79" s="5">
        <v>0</v>
      </c>
    </row>
    <row r="80" spans="1:6" ht="28" x14ac:dyDescent="0.15">
      <c r="A80" s="3" t="s">
        <v>175</v>
      </c>
      <c r="B80" s="1" t="s">
        <v>180</v>
      </c>
      <c r="C80" s="2" t="s">
        <v>181</v>
      </c>
      <c r="D80" s="1" t="s">
        <v>13</v>
      </c>
      <c r="E80" s="4" t="s">
        <v>10</v>
      </c>
      <c r="F80" s="5">
        <v>0</v>
      </c>
    </row>
    <row r="81" spans="1:6" ht="28" x14ac:dyDescent="0.15">
      <c r="A81" s="3" t="s">
        <v>175</v>
      </c>
      <c r="B81" s="1" t="s">
        <v>182</v>
      </c>
      <c r="C81" s="2" t="s">
        <v>183</v>
      </c>
      <c r="D81" s="1" t="s">
        <v>16</v>
      </c>
      <c r="E81" s="4" t="s">
        <v>10</v>
      </c>
      <c r="F81" s="5">
        <v>0</v>
      </c>
    </row>
    <row r="82" spans="1:6" ht="28" x14ac:dyDescent="0.15">
      <c r="A82" s="3" t="s">
        <v>175</v>
      </c>
      <c r="B82" s="1" t="s">
        <v>184</v>
      </c>
      <c r="C82" s="2" t="s">
        <v>185</v>
      </c>
      <c r="D82" s="1" t="s">
        <v>9</v>
      </c>
      <c r="E82" s="4" t="s">
        <v>10</v>
      </c>
      <c r="F82" s="5">
        <v>0</v>
      </c>
    </row>
    <row r="83" spans="1:6" ht="28" x14ac:dyDescent="0.15">
      <c r="A83" s="3" t="s">
        <v>175</v>
      </c>
      <c r="B83" s="1" t="s">
        <v>186</v>
      </c>
      <c r="C83" s="2" t="s">
        <v>187</v>
      </c>
      <c r="D83" s="1" t="s">
        <v>13</v>
      </c>
      <c r="E83" s="4" t="s">
        <v>10</v>
      </c>
      <c r="F83" s="5">
        <v>0</v>
      </c>
    </row>
    <row r="84" spans="1:6" ht="28" x14ac:dyDescent="0.15">
      <c r="A84" s="3" t="s">
        <v>188</v>
      </c>
      <c r="B84" s="1" t="s">
        <v>189</v>
      </c>
      <c r="C84" s="2" t="s">
        <v>190</v>
      </c>
      <c r="D84" s="1" t="s">
        <v>16</v>
      </c>
      <c r="E84" s="4" t="s">
        <v>10</v>
      </c>
      <c r="F84" s="5">
        <v>0</v>
      </c>
    </row>
    <row r="85" spans="1:6" ht="28" x14ac:dyDescent="0.15">
      <c r="A85" s="3" t="s">
        <v>188</v>
      </c>
      <c r="B85" s="1" t="s">
        <v>191</v>
      </c>
      <c r="C85" s="2" t="s">
        <v>192</v>
      </c>
      <c r="D85" s="1" t="s">
        <v>19</v>
      </c>
      <c r="E85" s="4" t="s">
        <v>10</v>
      </c>
      <c r="F85" s="5">
        <v>0</v>
      </c>
    </row>
    <row r="86" spans="1:6" ht="28" x14ac:dyDescent="0.15">
      <c r="A86" s="3" t="s">
        <v>188</v>
      </c>
      <c r="B86" s="1" t="s">
        <v>193</v>
      </c>
      <c r="C86" s="2" t="s">
        <v>194</v>
      </c>
      <c r="D86" s="1" t="s">
        <v>13</v>
      </c>
      <c r="E86" s="4" t="s">
        <v>10</v>
      </c>
      <c r="F86" s="5">
        <v>0</v>
      </c>
    </row>
    <row r="87" spans="1:6" ht="28" x14ac:dyDescent="0.15">
      <c r="A87" s="3" t="s">
        <v>188</v>
      </c>
      <c r="B87" s="1" t="s">
        <v>195</v>
      </c>
      <c r="C87" s="2" t="s">
        <v>196</v>
      </c>
      <c r="D87" s="1" t="s">
        <v>16</v>
      </c>
      <c r="E87" s="4" t="s">
        <v>10</v>
      </c>
      <c r="F87" s="5">
        <v>0</v>
      </c>
    </row>
    <row r="88" spans="1:6" ht="28" x14ac:dyDescent="0.15">
      <c r="A88" s="3" t="s">
        <v>188</v>
      </c>
      <c r="B88" s="1" t="s">
        <v>197</v>
      </c>
      <c r="C88" s="2" t="s">
        <v>198</v>
      </c>
      <c r="D88" s="1" t="s">
        <v>19</v>
      </c>
      <c r="E88" s="4" t="s">
        <v>10</v>
      </c>
      <c r="F88" s="5">
        <v>0</v>
      </c>
    </row>
    <row r="89" spans="1:6" ht="28" x14ac:dyDescent="0.15">
      <c r="A89" s="3" t="s">
        <v>188</v>
      </c>
      <c r="B89" s="1" t="s">
        <v>199</v>
      </c>
      <c r="C89" s="2" t="s">
        <v>200</v>
      </c>
      <c r="D89" s="1" t="s">
        <v>9</v>
      </c>
      <c r="E89" s="4" t="s">
        <v>10</v>
      </c>
      <c r="F89" s="5">
        <v>0</v>
      </c>
    </row>
    <row r="90" spans="1:6" ht="28" x14ac:dyDescent="0.15">
      <c r="A90" s="3" t="s">
        <v>201</v>
      </c>
      <c r="B90" s="1" t="s">
        <v>202</v>
      </c>
      <c r="C90" s="2" t="s">
        <v>203</v>
      </c>
      <c r="D90" s="1" t="s">
        <v>16</v>
      </c>
      <c r="E90" s="4" t="s">
        <v>10</v>
      </c>
      <c r="F90" s="5">
        <v>0</v>
      </c>
    </row>
    <row r="91" spans="1:6" ht="28" x14ac:dyDescent="0.15">
      <c r="A91" s="3" t="s">
        <v>201</v>
      </c>
      <c r="B91" s="1" t="s">
        <v>204</v>
      </c>
      <c r="C91" s="2" t="s">
        <v>205</v>
      </c>
      <c r="D91" s="1" t="s">
        <v>19</v>
      </c>
      <c r="E91" s="4" t="s">
        <v>10</v>
      </c>
      <c r="F91" s="5">
        <v>0</v>
      </c>
    </row>
    <row r="92" spans="1:6" ht="28" x14ac:dyDescent="0.15">
      <c r="A92" s="3" t="s">
        <v>201</v>
      </c>
      <c r="B92" s="1" t="s">
        <v>206</v>
      </c>
      <c r="C92" s="2" t="s">
        <v>207</v>
      </c>
      <c r="D92" s="1" t="s">
        <v>9</v>
      </c>
      <c r="E92" s="4" t="s">
        <v>10</v>
      </c>
      <c r="F92" s="5">
        <v>0</v>
      </c>
    </row>
    <row r="93" spans="1:6" ht="28" x14ac:dyDescent="0.15">
      <c r="A93" s="3" t="s">
        <v>201</v>
      </c>
      <c r="B93" s="1" t="s">
        <v>208</v>
      </c>
      <c r="C93" s="2" t="s">
        <v>209</v>
      </c>
      <c r="D93" s="1" t="s">
        <v>13</v>
      </c>
      <c r="E93" s="4" t="s">
        <v>10</v>
      </c>
      <c r="F93" s="5">
        <v>0</v>
      </c>
    </row>
    <row r="94" spans="1:6" ht="28" x14ac:dyDescent="0.15">
      <c r="A94" s="3" t="s">
        <v>201</v>
      </c>
      <c r="B94" s="1" t="s">
        <v>210</v>
      </c>
      <c r="C94" s="2" t="s">
        <v>211</v>
      </c>
      <c r="D94" s="1" t="s">
        <v>19</v>
      </c>
      <c r="E94" s="4" t="s">
        <v>10</v>
      </c>
      <c r="F94" s="5">
        <v>0</v>
      </c>
    </row>
    <row r="95" spans="1:6" ht="28" x14ac:dyDescent="0.15">
      <c r="A95" s="3" t="s">
        <v>201</v>
      </c>
      <c r="B95" s="1" t="s">
        <v>212</v>
      </c>
      <c r="C95" s="2" t="s">
        <v>213</v>
      </c>
      <c r="D95" s="1" t="s">
        <v>9</v>
      </c>
      <c r="E95" s="4" t="s">
        <v>10</v>
      </c>
      <c r="F95" s="5">
        <v>0</v>
      </c>
    </row>
    <row r="96" spans="1:6" ht="28" x14ac:dyDescent="0.15">
      <c r="A96" s="3" t="s">
        <v>214</v>
      </c>
      <c r="B96" s="1" t="s">
        <v>215</v>
      </c>
      <c r="C96" s="2" t="s">
        <v>216</v>
      </c>
      <c r="D96" s="1" t="s">
        <v>13</v>
      </c>
      <c r="E96" s="4" t="s">
        <v>10</v>
      </c>
      <c r="F96" s="5">
        <v>0</v>
      </c>
    </row>
    <row r="97" spans="1:6" ht="28" x14ac:dyDescent="0.15">
      <c r="A97" s="3" t="s">
        <v>214</v>
      </c>
      <c r="B97" s="1" t="s">
        <v>217</v>
      </c>
      <c r="C97" s="2" t="s">
        <v>218</v>
      </c>
      <c r="D97" s="1" t="s">
        <v>16</v>
      </c>
      <c r="E97" s="4" t="s">
        <v>10</v>
      </c>
      <c r="F97" s="5">
        <v>0</v>
      </c>
    </row>
    <row r="98" spans="1:6" ht="28" x14ac:dyDescent="0.15">
      <c r="A98" s="3" t="s">
        <v>214</v>
      </c>
      <c r="B98" s="1" t="s">
        <v>186</v>
      </c>
      <c r="C98" s="2" t="s">
        <v>219</v>
      </c>
      <c r="D98" s="1" t="s">
        <v>9</v>
      </c>
      <c r="E98" s="4" t="s">
        <v>10</v>
      </c>
      <c r="F98" s="5">
        <v>0</v>
      </c>
    </row>
    <row r="99" spans="1:6" ht="28" x14ac:dyDescent="0.15">
      <c r="A99" s="3" t="s">
        <v>214</v>
      </c>
      <c r="B99" s="1" t="s">
        <v>220</v>
      </c>
      <c r="C99" s="2" t="s">
        <v>221</v>
      </c>
      <c r="D99" s="1" t="s">
        <v>13</v>
      </c>
      <c r="E99" s="4" t="s">
        <v>10</v>
      </c>
      <c r="F99" s="5">
        <v>0</v>
      </c>
    </row>
    <row r="100" spans="1:6" ht="28" x14ac:dyDescent="0.15">
      <c r="A100" s="3" t="s">
        <v>214</v>
      </c>
      <c r="B100" s="1" t="s">
        <v>222</v>
      </c>
      <c r="C100" s="2" t="s">
        <v>223</v>
      </c>
      <c r="D100" s="1" t="s">
        <v>16</v>
      </c>
      <c r="E100" s="4" t="s">
        <v>10</v>
      </c>
      <c r="F100" s="5">
        <v>0</v>
      </c>
    </row>
    <row r="101" spans="1:6" ht="28" x14ac:dyDescent="0.15">
      <c r="A101" s="3" t="s">
        <v>214</v>
      </c>
      <c r="B101" s="1" t="s">
        <v>224</v>
      </c>
      <c r="C101" s="2" t="s">
        <v>225</v>
      </c>
      <c r="D101" s="1" t="s">
        <v>19</v>
      </c>
      <c r="E101" s="4" t="s">
        <v>10</v>
      </c>
      <c r="F101" s="5">
        <v>0</v>
      </c>
    </row>
    <row r="102" spans="1:6" x14ac:dyDescent="0.15">
      <c r="A102" s="3"/>
      <c r="B102" s="1"/>
      <c r="C102" s="2"/>
      <c r="E102" s="4"/>
      <c r="F102" s="1">
        <v>1</v>
      </c>
    </row>
    <row r="103" spans="1:6" x14ac:dyDescent="0.15">
      <c r="A103" s="3"/>
      <c r="B103" s="1"/>
      <c r="C103" s="2"/>
      <c r="E103" s="4"/>
      <c r="F103" s="1"/>
    </row>
    <row r="104" spans="1:6" x14ac:dyDescent="0.15">
      <c r="A104" s="3"/>
      <c r="B104" s="1"/>
      <c r="C104" s="2"/>
      <c r="E104" s="4"/>
      <c r="F104" s="1"/>
    </row>
  </sheetData>
  <customSheetViews>
    <customSheetView guid="{42CAC4A3-DE29-4D5A-A7CA-F32097E4DB13}" filter="1" showAutoFilter="1">
      <pageMargins left="0.7" right="0.7" top="0.75" bottom="0.75" header="0.3" footer="0.3"/>
      <autoFilter ref="B1:F104" xr:uid="{6650087C-7545-5140-95D2-1C68A4E93867}"/>
    </customSheetView>
  </customSheetViews>
  <conditionalFormatting sqref="F2:F104">
    <cfRule type="colorScale" priority="1">
      <colorScale>
        <cfvo type="formula" val="0"/>
        <cfvo type="percentile" val="50"/>
        <cfvo type="max"/>
        <color rgb="FF57BB8A"/>
        <color rgb="FFFFD666"/>
        <color rgb="FFE67C73"/>
      </colorScale>
    </cfRule>
  </conditionalFormatting>
  <dataValidations count="4">
    <dataValidation type="list" allowBlank="1" sqref="A2:A104" xr:uid="{00000000-0002-0000-0000-000000000000}">
      <formula1>PBInames</formula1>
    </dataValidation>
    <dataValidation type="list" allowBlank="1" sqref="D2:D104" xr:uid="{00000000-0002-0000-0000-000001000000}">
      <formula1>DTnames</formula1>
    </dataValidation>
    <dataValidation type="list" allowBlank="1" sqref="E2:E104" xr:uid="{00000000-0002-0000-0000-000002000000}">
      <formula1>SBstatus</formula1>
    </dataValidation>
    <dataValidation type="decimal" operator="greaterThanOrEqual" allowBlank="1" showDropDown="1" sqref="F68:F104" xr:uid="{00000000-0002-0000-0000-000003000000}">
      <formula1>0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V10"/>
  <sheetViews>
    <sheetView showGridLines="0" zoomScale="180" zoomScaleNormal="180" workbookViewId="0">
      <selection activeCell="T8" sqref="T8"/>
    </sheetView>
  </sheetViews>
  <sheetFormatPr baseColWidth="10" defaultColWidth="12.6640625" defaultRowHeight="15.75" customHeight="1" x14ac:dyDescent="0.15"/>
  <cols>
    <col min="1" max="1" width="4.5" bestFit="1" customWidth="1"/>
    <col min="2" max="11" width="5.83203125" bestFit="1" customWidth="1"/>
    <col min="12" max="15" width="4.83203125" bestFit="1" customWidth="1"/>
    <col min="16" max="22" width="5" customWidth="1"/>
  </cols>
  <sheetData>
    <row r="1" spans="1:22" ht="300" customHeight="1" x14ac:dyDescent="0.15">
      <c r="A1" s="6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Q1" s="8"/>
      <c r="R1" s="8"/>
      <c r="S1" s="8"/>
      <c r="T1" s="8"/>
      <c r="U1" s="8"/>
      <c r="V1" s="8"/>
    </row>
    <row r="2" spans="1:22" s="15" customFormat="1" ht="13" x14ac:dyDescent="0.15">
      <c r="A2" s="13" t="s">
        <v>226</v>
      </c>
      <c r="B2" s="14">
        <v>45952</v>
      </c>
      <c r="C2" s="14">
        <v>45953</v>
      </c>
      <c r="D2" s="14">
        <v>45954</v>
      </c>
      <c r="E2" s="14">
        <v>45955</v>
      </c>
      <c r="F2" s="14">
        <v>45956</v>
      </c>
      <c r="G2" s="14">
        <v>45957</v>
      </c>
      <c r="H2" s="14">
        <v>45958</v>
      </c>
      <c r="I2" s="14">
        <v>45959</v>
      </c>
      <c r="J2" s="14">
        <v>45960</v>
      </c>
      <c r="K2" s="14">
        <v>45961</v>
      </c>
      <c r="L2" s="14">
        <v>45962</v>
      </c>
      <c r="M2" s="14">
        <v>45963</v>
      </c>
      <c r="N2" s="14">
        <v>45964</v>
      </c>
      <c r="O2" s="14">
        <v>45965</v>
      </c>
      <c r="P2" s="14">
        <v>45969</v>
      </c>
      <c r="Q2" s="14"/>
      <c r="R2" s="14"/>
      <c r="S2" s="14"/>
      <c r="T2" s="14"/>
      <c r="U2" s="14"/>
      <c r="V2" s="14"/>
    </row>
    <row r="3" spans="1:22" ht="13" x14ac:dyDescent="0.15">
      <c r="A3" s="9" t="s">
        <v>227</v>
      </c>
      <c r="B3" s="8">
        <v>0</v>
      </c>
      <c r="C3" s="8">
        <v>1</v>
      </c>
      <c r="D3" s="8">
        <v>2</v>
      </c>
      <c r="E3" s="8">
        <v>3</v>
      </c>
      <c r="F3" s="8">
        <v>4</v>
      </c>
      <c r="G3" s="8">
        <v>5</v>
      </c>
      <c r="H3" s="8">
        <v>6</v>
      </c>
      <c r="I3" s="8">
        <v>7</v>
      </c>
      <c r="J3" s="8">
        <v>8</v>
      </c>
      <c r="K3" s="8">
        <v>9</v>
      </c>
      <c r="L3" s="8">
        <v>10</v>
      </c>
      <c r="M3" s="8">
        <v>11</v>
      </c>
      <c r="N3" s="8">
        <v>12</v>
      </c>
      <c r="O3" s="8">
        <v>13</v>
      </c>
      <c r="P3" s="8">
        <v>14</v>
      </c>
      <c r="Q3" s="7"/>
      <c r="R3" s="7"/>
      <c r="S3" s="7"/>
      <c r="T3" s="7"/>
      <c r="U3" s="7"/>
      <c r="V3" s="7"/>
    </row>
    <row r="4" spans="1:22" ht="13" x14ac:dyDescent="0.15">
      <c r="A4" s="9" t="s">
        <v>228</v>
      </c>
      <c r="B4" s="10">
        <v>26</v>
      </c>
      <c r="C4" s="10">
        <v>24</v>
      </c>
      <c r="D4" s="10">
        <v>20</v>
      </c>
      <c r="E4" s="10">
        <v>20</v>
      </c>
      <c r="F4" s="10">
        <v>20</v>
      </c>
      <c r="G4" s="10">
        <v>16</v>
      </c>
      <c r="H4" s="10">
        <v>12</v>
      </c>
      <c r="I4" s="10">
        <v>5</v>
      </c>
      <c r="J4" s="10">
        <v>2</v>
      </c>
      <c r="K4" s="10">
        <v>2</v>
      </c>
      <c r="L4" s="10">
        <v>2</v>
      </c>
      <c r="M4" s="10">
        <v>2</v>
      </c>
      <c r="N4" s="10">
        <v>2</v>
      </c>
      <c r="O4" s="10">
        <v>1</v>
      </c>
      <c r="P4" s="10">
        <v>0</v>
      </c>
      <c r="Q4" s="7"/>
      <c r="R4" s="7"/>
      <c r="S4" s="7"/>
      <c r="T4" s="7"/>
      <c r="U4" s="7"/>
      <c r="V4" s="7"/>
    </row>
    <row r="5" spans="1:22" ht="13" x14ac:dyDescent="0.15">
      <c r="A5" s="9" t="s">
        <v>229</v>
      </c>
      <c r="B5" s="10">
        <v>26</v>
      </c>
      <c r="C5" s="10">
        <v>24</v>
      </c>
      <c r="D5" s="10">
        <v>22</v>
      </c>
      <c r="E5" s="10">
        <v>20</v>
      </c>
      <c r="F5" s="10">
        <v>18</v>
      </c>
      <c r="G5" s="10">
        <v>16</v>
      </c>
      <c r="H5" s="10">
        <v>14</v>
      </c>
      <c r="I5" s="10">
        <v>12</v>
      </c>
      <c r="J5" s="10">
        <v>10</v>
      </c>
      <c r="K5" s="10">
        <v>8</v>
      </c>
      <c r="L5" s="10">
        <v>6</v>
      </c>
      <c r="M5" s="10">
        <v>4</v>
      </c>
      <c r="N5" s="10">
        <v>2</v>
      </c>
      <c r="O5" s="10">
        <v>1</v>
      </c>
      <c r="P5" s="10">
        <v>0</v>
      </c>
      <c r="Q5" s="7"/>
      <c r="R5" s="7"/>
      <c r="S5" s="7"/>
      <c r="T5" s="7"/>
      <c r="U5" s="7"/>
      <c r="V5" s="7"/>
    </row>
    <row r="6" spans="1:22" ht="13" x14ac:dyDescent="0.15">
      <c r="A6" s="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7"/>
      <c r="Q6" s="7"/>
      <c r="R6" s="7"/>
      <c r="S6" s="7"/>
      <c r="T6" s="7"/>
      <c r="U6" s="7"/>
      <c r="V6" s="7"/>
    </row>
    <row r="7" spans="1:22" ht="13" x14ac:dyDescent="0.15">
      <c r="A7" s="1">
        <f>SUM('Sprint Backlog'!$F$2:$F$101)</f>
        <v>0</v>
      </c>
      <c r="B7" s="22" t="str">
        <f>'Sprint Backlog'!F1</f>
        <v>Remaining Effort [hr]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7"/>
      <c r="Q7" s="7"/>
      <c r="R7" s="7"/>
      <c r="S7" s="7"/>
      <c r="T7" s="7"/>
      <c r="U7" s="7"/>
      <c r="V7" s="7"/>
    </row>
    <row r="8" spans="1:22" ht="13" x14ac:dyDescent="0.15">
      <c r="A8">
        <f>COUNTA($B$2:$V$2)-1</f>
        <v>14</v>
      </c>
      <c r="B8" s="22" t="s">
        <v>230</v>
      </c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7"/>
      <c r="Q8" s="7"/>
      <c r="R8" s="7"/>
      <c r="S8" s="7"/>
      <c r="T8" s="7"/>
      <c r="U8" s="7"/>
      <c r="V8" s="7"/>
    </row>
    <row r="9" spans="1:22" ht="13" x14ac:dyDescent="0.15">
      <c r="A9" s="24" t="str">
        <f>HYPERLINK("http://media.agile42.com/content/Scrum_in_a_nutshell.pdf?_ga=1.116226372.393292814.1481048729","Reference: Scrum in a Nutshell")</f>
        <v>Reference: Scrum in a Nutshell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</row>
    <row r="10" spans="1:22" ht="13" x14ac:dyDescent="0.15">
      <c r="A10" s="24" t="str">
        <f>HYPERLINK("https://blog.zepel.io/understanding-burndown-charts/","Reference: Understanding Burndown Charts")</f>
        <v>Reference: Understanding Burndown Charts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</row>
  </sheetData>
  <mergeCells count="4">
    <mergeCell ref="B7:O7"/>
    <mergeCell ref="B8:O8"/>
    <mergeCell ref="A9:V9"/>
    <mergeCell ref="A10:V10"/>
  </mergeCells>
  <phoneticPr fontId="7" type="noConversion"/>
  <conditionalFormatting sqref="B4:P4">
    <cfRule type="notContainsBlanks" dxfId="1" priority="2">
      <formula>LEN(TRIM(B4))&gt;0</formula>
    </cfRule>
  </conditionalFormatting>
  <conditionalFormatting sqref="B2:P2">
    <cfRule type="expression" dxfId="0" priority="1">
      <formula>AND(ISNUMBER(B2),TRUNC(B2)&gt;TODAY())</formula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45F06"/>
    <outlinePr summaryBelow="0" summaryRight="0"/>
  </sheetPr>
  <dimension ref="A1:C101"/>
  <sheetViews>
    <sheetView showGridLines="0" zoomScale="180" zoomScaleNormal="180" workbookViewId="0">
      <pane ySplit="1" topLeftCell="A2" activePane="bottomLeft" state="frozen"/>
      <selection pane="bottomLeft" activeCell="D10" sqref="D10"/>
    </sheetView>
  </sheetViews>
  <sheetFormatPr baseColWidth="10" defaultColWidth="12.6640625" defaultRowHeight="13" x14ac:dyDescent="0.15"/>
  <cols>
    <col min="1" max="1" width="12.5" customWidth="1"/>
    <col min="2" max="2" width="63.33203125" customWidth="1"/>
    <col min="3" max="3" width="10.6640625" customWidth="1"/>
  </cols>
  <sheetData>
    <row r="1" spans="1:3" x14ac:dyDescent="0.15">
      <c r="A1" s="4" t="s">
        <v>231</v>
      </c>
      <c r="B1" s="4" t="s">
        <v>232</v>
      </c>
      <c r="C1" s="4" t="s">
        <v>4</v>
      </c>
    </row>
    <row r="2" spans="1:3" ht="26" customHeight="1" x14ac:dyDescent="0.15">
      <c r="A2" s="12" t="s">
        <v>6</v>
      </c>
      <c r="B2" s="12" t="s">
        <v>233</v>
      </c>
      <c r="C2" s="12" t="s">
        <v>10</v>
      </c>
    </row>
    <row r="3" spans="1:3" ht="26" x14ac:dyDescent="0.15">
      <c r="A3" s="12" t="s">
        <v>24</v>
      </c>
      <c r="B3" s="12" t="s">
        <v>234</v>
      </c>
      <c r="C3" s="12" t="s">
        <v>10</v>
      </c>
    </row>
    <row r="4" spans="1:3" ht="26" x14ac:dyDescent="0.15">
      <c r="A4" s="12" t="s">
        <v>33</v>
      </c>
      <c r="B4" s="12" t="s">
        <v>235</v>
      </c>
      <c r="C4" s="12" t="s">
        <v>10</v>
      </c>
    </row>
    <row r="5" spans="1:3" ht="26" x14ac:dyDescent="0.15">
      <c r="A5" s="12" t="s">
        <v>46</v>
      </c>
      <c r="B5" s="12" t="s">
        <v>236</v>
      </c>
      <c r="C5" s="12" t="s">
        <v>10</v>
      </c>
    </row>
    <row r="6" spans="1:3" ht="26" x14ac:dyDescent="0.15">
      <c r="A6" s="12" t="s">
        <v>59</v>
      </c>
      <c r="B6" s="12" t="s">
        <v>237</v>
      </c>
      <c r="C6" s="12" t="s">
        <v>10</v>
      </c>
    </row>
    <row r="7" spans="1:3" ht="26" x14ac:dyDescent="0.15">
      <c r="A7" s="12" t="s">
        <v>72</v>
      </c>
      <c r="B7" s="12" t="s">
        <v>238</v>
      </c>
      <c r="C7" s="12" t="s">
        <v>10</v>
      </c>
    </row>
    <row r="8" spans="1:3" ht="26" x14ac:dyDescent="0.15">
      <c r="A8" s="12" t="s">
        <v>85</v>
      </c>
      <c r="B8" s="12" t="s">
        <v>239</v>
      </c>
      <c r="C8" s="12" t="s">
        <v>10</v>
      </c>
    </row>
    <row r="9" spans="1:3" ht="26" x14ac:dyDescent="0.15">
      <c r="A9" s="12" t="s">
        <v>98</v>
      </c>
      <c r="B9" s="12" t="s">
        <v>240</v>
      </c>
      <c r="C9" s="12" t="s">
        <v>10</v>
      </c>
    </row>
    <row r="10" spans="1:3" ht="26" x14ac:dyDescent="0.15">
      <c r="A10" s="12" t="s">
        <v>111</v>
      </c>
      <c r="B10" s="12" t="s">
        <v>241</v>
      </c>
      <c r="C10" s="12" t="s">
        <v>10</v>
      </c>
    </row>
    <row r="11" spans="1:3" ht="26" x14ac:dyDescent="0.15">
      <c r="A11" s="12" t="s">
        <v>124</v>
      </c>
      <c r="B11" s="12" t="s">
        <v>242</v>
      </c>
      <c r="C11" s="12" t="s">
        <v>10</v>
      </c>
    </row>
    <row r="12" spans="1:3" ht="26" x14ac:dyDescent="0.15">
      <c r="A12" s="12" t="s">
        <v>137</v>
      </c>
      <c r="B12" s="12" t="s">
        <v>243</v>
      </c>
      <c r="C12" s="12" t="s">
        <v>10</v>
      </c>
    </row>
    <row r="13" spans="1:3" ht="26" x14ac:dyDescent="0.15">
      <c r="A13" s="12" t="s">
        <v>149</v>
      </c>
      <c r="B13" s="12" t="s">
        <v>244</v>
      </c>
      <c r="C13" s="12" t="s">
        <v>10</v>
      </c>
    </row>
    <row r="14" spans="1:3" x14ac:dyDescent="0.15">
      <c r="A14" s="12"/>
      <c r="B14" s="12"/>
      <c r="C14" s="12"/>
    </row>
    <row r="15" spans="1:3" x14ac:dyDescent="0.15">
      <c r="A15" s="12"/>
      <c r="B15" s="12"/>
      <c r="C15" s="12"/>
    </row>
    <row r="16" spans="1:3" x14ac:dyDescent="0.15">
      <c r="A16" s="12"/>
      <c r="B16" s="12"/>
      <c r="C16" s="12"/>
    </row>
    <row r="17" spans="1:3" x14ac:dyDescent="0.15">
      <c r="A17" s="12"/>
      <c r="B17" s="12"/>
      <c r="C17" s="12"/>
    </row>
    <row r="18" spans="1:3" x14ac:dyDescent="0.15">
      <c r="A18" s="12"/>
      <c r="B18" s="12"/>
      <c r="C18" s="12"/>
    </row>
    <row r="19" spans="1:3" x14ac:dyDescent="0.15">
      <c r="A19" s="12"/>
      <c r="B19" s="12"/>
      <c r="C19" s="12"/>
    </row>
    <row r="20" spans="1:3" x14ac:dyDescent="0.15">
      <c r="A20" s="12"/>
      <c r="B20" s="12"/>
      <c r="C20" s="12"/>
    </row>
    <row r="21" spans="1:3" x14ac:dyDescent="0.15">
      <c r="A21" s="12"/>
      <c r="B21" s="12"/>
      <c r="C21" s="12"/>
    </row>
    <row r="22" spans="1:3" x14ac:dyDescent="0.15">
      <c r="A22" s="12"/>
      <c r="B22" s="12"/>
      <c r="C22" s="12"/>
    </row>
    <row r="23" spans="1:3" x14ac:dyDescent="0.15">
      <c r="A23" s="12"/>
      <c r="B23" s="12"/>
      <c r="C23" s="12"/>
    </row>
    <row r="24" spans="1:3" x14ac:dyDescent="0.15">
      <c r="A24" s="12"/>
      <c r="B24" s="12"/>
      <c r="C24" s="12"/>
    </row>
    <row r="25" spans="1:3" x14ac:dyDescent="0.15">
      <c r="A25" s="12"/>
      <c r="B25" s="12"/>
      <c r="C25" s="12"/>
    </row>
    <row r="26" spans="1:3" x14ac:dyDescent="0.15">
      <c r="A26" s="12"/>
      <c r="B26" s="12"/>
      <c r="C26" s="12"/>
    </row>
    <row r="27" spans="1:3" x14ac:dyDescent="0.15">
      <c r="A27" s="12"/>
      <c r="B27" s="12"/>
      <c r="C27" s="12"/>
    </row>
    <row r="28" spans="1:3" x14ac:dyDescent="0.15">
      <c r="A28" s="12"/>
      <c r="B28" s="12"/>
      <c r="C28" s="12"/>
    </row>
    <row r="29" spans="1:3" x14ac:dyDescent="0.15">
      <c r="A29" s="12"/>
      <c r="B29" s="12"/>
      <c r="C29" s="12"/>
    </row>
    <row r="30" spans="1:3" x14ac:dyDescent="0.15">
      <c r="A30" s="12"/>
      <c r="B30" s="12"/>
      <c r="C30" s="12"/>
    </row>
    <row r="31" spans="1:3" x14ac:dyDescent="0.15">
      <c r="A31" s="12"/>
      <c r="B31" s="12"/>
      <c r="C31" s="12"/>
    </row>
    <row r="32" spans="1:3" x14ac:dyDescent="0.15">
      <c r="A32" s="12"/>
      <c r="B32" s="12"/>
      <c r="C32" s="12"/>
    </row>
    <row r="33" spans="1:3" x14ac:dyDescent="0.15">
      <c r="A33" s="12"/>
      <c r="B33" s="12"/>
      <c r="C33" s="12"/>
    </row>
    <row r="34" spans="1:3" x14ac:dyDescent="0.15">
      <c r="A34" s="12"/>
      <c r="B34" s="12"/>
      <c r="C34" s="12"/>
    </row>
    <row r="35" spans="1:3" x14ac:dyDescent="0.15">
      <c r="A35" s="12"/>
      <c r="B35" s="12"/>
      <c r="C35" s="12"/>
    </row>
    <row r="36" spans="1:3" x14ac:dyDescent="0.15">
      <c r="A36" s="12"/>
      <c r="B36" s="12"/>
      <c r="C36" s="12"/>
    </row>
    <row r="37" spans="1:3" x14ac:dyDescent="0.15">
      <c r="A37" s="12"/>
      <c r="B37" s="12"/>
      <c r="C37" s="12"/>
    </row>
    <row r="38" spans="1:3" x14ac:dyDescent="0.15">
      <c r="A38" s="12"/>
      <c r="B38" s="12"/>
      <c r="C38" s="12"/>
    </row>
    <row r="39" spans="1:3" x14ac:dyDescent="0.15">
      <c r="A39" s="12"/>
      <c r="B39" s="12"/>
      <c r="C39" s="12"/>
    </row>
    <row r="40" spans="1:3" x14ac:dyDescent="0.15">
      <c r="A40" s="12"/>
      <c r="B40" s="12"/>
      <c r="C40" s="12"/>
    </row>
    <row r="41" spans="1:3" x14ac:dyDescent="0.15">
      <c r="A41" s="12"/>
      <c r="B41" s="12"/>
      <c r="C41" s="12"/>
    </row>
    <row r="42" spans="1:3" x14ac:dyDescent="0.15">
      <c r="A42" s="12"/>
      <c r="B42" s="12"/>
      <c r="C42" s="12"/>
    </row>
    <row r="43" spans="1:3" x14ac:dyDescent="0.15">
      <c r="A43" s="12"/>
      <c r="B43" s="12"/>
      <c r="C43" s="12"/>
    </row>
    <row r="44" spans="1:3" x14ac:dyDescent="0.15">
      <c r="A44" s="12"/>
      <c r="B44" s="12"/>
      <c r="C44" s="12"/>
    </row>
    <row r="45" spans="1:3" x14ac:dyDescent="0.15">
      <c r="A45" s="12"/>
      <c r="B45" s="12"/>
      <c r="C45" s="12"/>
    </row>
    <row r="46" spans="1:3" x14ac:dyDescent="0.15">
      <c r="A46" s="12"/>
      <c r="B46" s="12"/>
      <c r="C46" s="12"/>
    </row>
    <row r="47" spans="1:3" x14ac:dyDescent="0.15">
      <c r="A47" s="12"/>
      <c r="B47" s="12"/>
      <c r="C47" s="12"/>
    </row>
    <row r="48" spans="1:3" x14ac:dyDescent="0.15">
      <c r="A48" s="12"/>
      <c r="B48" s="12"/>
      <c r="C48" s="12"/>
    </row>
    <row r="49" spans="1:3" x14ac:dyDescent="0.15">
      <c r="A49" s="12"/>
      <c r="B49" s="12"/>
      <c r="C49" s="12"/>
    </row>
    <row r="50" spans="1:3" x14ac:dyDescent="0.15">
      <c r="A50" s="12"/>
      <c r="B50" s="12"/>
      <c r="C50" s="12"/>
    </row>
    <row r="51" spans="1:3" x14ac:dyDescent="0.15">
      <c r="A51" s="12"/>
      <c r="B51" s="12"/>
      <c r="C51" s="12"/>
    </row>
    <row r="52" spans="1:3" x14ac:dyDescent="0.15">
      <c r="A52" s="12"/>
      <c r="B52" s="12"/>
      <c r="C52" s="12"/>
    </row>
    <row r="53" spans="1:3" x14ac:dyDescent="0.15">
      <c r="A53" s="12"/>
      <c r="B53" s="12"/>
      <c r="C53" s="12"/>
    </row>
    <row r="54" spans="1:3" x14ac:dyDescent="0.15">
      <c r="A54" s="12"/>
      <c r="B54" s="12"/>
      <c r="C54" s="12"/>
    </row>
    <row r="55" spans="1:3" x14ac:dyDescent="0.15">
      <c r="A55" s="12"/>
      <c r="B55" s="12"/>
      <c r="C55" s="12"/>
    </row>
    <row r="56" spans="1:3" x14ac:dyDescent="0.15">
      <c r="A56" s="12"/>
      <c r="B56" s="12"/>
      <c r="C56" s="12"/>
    </row>
    <row r="57" spans="1:3" x14ac:dyDescent="0.15">
      <c r="A57" s="12"/>
      <c r="B57" s="12"/>
      <c r="C57" s="12"/>
    </row>
    <row r="58" spans="1:3" x14ac:dyDescent="0.15">
      <c r="A58" s="12"/>
      <c r="B58" s="12"/>
      <c r="C58" s="12"/>
    </row>
    <row r="59" spans="1:3" x14ac:dyDescent="0.15">
      <c r="A59" s="12"/>
      <c r="B59" s="12"/>
      <c r="C59" s="12"/>
    </row>
    <row r="60" spans="1:3" x14ac:dyDescent="0.15">
      <c r="A60" s="12"/>
      <c r="B60" s="12"/>
      <c r="C60" s="12"/>
    </row>
    <row r="61" spans="1:3" x14ac:dyDescent="0.15">
      <c r="A61" s="12"/>
      <c r="B61" s="12"/>
      <c r="C61" s="12"/>
    </row>
    <row r="62" spans="1:3" x14ac:dyDescent="0.15">
      <c r="A62" s="12"/>
      <c r="B62" s="12"/>
      <c r="C62" s="12"/>
    </row>
    <row r="63" spans="1:3" x14ac:dyDescent="0.15">
      <c r="A63" s="12"/>
      <c r="B63" s="12"/>
      <c r="C63" s="12"/>
    </row>
    <row r="64" spans="1:3" x14ac:dyDescent="0.15">
      <c r="A64" s="12"/>
      <c r="B64" s="12"/>
      <c r="C64" s="12"/>
    </row>
    <row r="65" spans="1:3" x14ac:dyDescent="0.15">
      <c r="A65" s="12"/>
      <c r="B65" s="12"/>
      <c r="C65" s="12"/>
    </row>
    <row r="66" spans="1:3" x14ac:dyDescent="0.15">
      <c r="A66" s="12"/>
      <c r="B66" s="12"/>
      <c r="C66" s="12"/>
    </row>
    <row r="67" spans="1:3" x14ac:dyDescent="0.15">
      <c r="A67" s="12"/>
      <c r="B67" s="12"/>
      <c r="C67" s="12"/>
    </row>
    <row r="68" spans="1:3" x14ac:dyDescent="0.15">
      <c r="A68" s="12"/>
      <c r="B68" s="12"/>
      <c r="C68" s="12"/>
    </row>
    <row r="69" spans="1:3" x14ac:dyDescent="0.15">
      <c r="A69" s="12"/>
      <c r="B69" s="12"/>
      <c r="C69" s="12"/>
    </row>
    <row r="70" spans="1:3" x14ac:dyDescent="0.15">
      <c r="A70" s="12"/>
      <c r="B70" s="12"/>
      <c r="C70" s="12"/>
    </row>
    <row r="71" spans="1:3" x14ac:dyDescent="0.15">
      <c r="A71" s="12"/>
      <c r="B71" s="12"/>
      <c r="C71" s="12"/>
    </row>
    <row r="72" spans="1:3" x14ac:dyDescent="0.15">
      <c r="A72" s="12"/>
      <c r="B72" s="12"/>
      <c r="C72" s="12"/>
    </row>
    <row r="73" spans="1:3" x14ac:dyDescent="0.15">
      <c r="A73" s="12"/>
      <c r="B73" s="12"/>
      <c r="C73" s="12"/>
    </row>
    <row r="74" spans="1:3" x14ac:dyDescent="0.15">
      <c r="A74" s="12"/>
      <c r="B74" s="12"/>
      <c r="C74" s="12"/>
    </row>
    <row r="75" spans="1:3" x14ac:dyDescent="0.15">
      <c r="A75" s="12"/>
      <c r="B75" s="12"/>
      <c r="C75" s="12"/>
    </row>
    <row r="76" spans="1:3" x14ac:dyDescent="0.15">
      <c r="A76" s="12"/>
      <c r="B76" s="12"/>
      <c r="C76" s="12"/>
    </row>
    <row r="77" spans="1:3" x14ac:dyDescent="0.15">
      <c r="A77" s="12"/>
      <c r="B77" s="12"/>
      <c r="C77" s="12"/>
    </row>
    <row r="78" spans="1:3" x14ac:dyDescent="0.15">
      <c r="A78" s="12"/>
      <c r="B78" s="12"/>
      <c r="C78" s="12"/>
    </row>
    <row r="79" spans="1:3" x14ac:dyDescent="0.15">
      <c r="A79" s="12"/>
      <c r="B79" s="12"/>
      <c r="C79" s="12"/>
    </row>
    <row r="80" spans="1:3" x14ac:dyDescent="0.15">
      <c r="A80" s="12"/>
      <c r="B80" s="12"/>
      <c r="C80" s="12"/>
    </row>
    <row r="81" spans="1:3" x14ac:dyDescent="0.15">
      <c r="A81" s="12"/>
      <c r="B81" s="12"/>
      <c r="C81" s="12"/>
    </row>
    <row r="82" spans="1:3" x14ac:dyDescent="0.15">
      <c r="A82" s="12"/>
      <c r="B82" s="12"/>
      <c r="C82" s="12"/>
    </row>
    <row r="83" spans="1:3" x14ac:dyDescent="0.15">
      <c r="A83" s="12"/>
      <c r="B83" s="12"/>
      <c r="C83" s="12"/>
    </row>
    <row r="84" spans="1:3" x14ac:dyDescent="0.15">
      <c r="A84" s="12"/>
      <c r="B84" s="12"/>
      <c r="C84" s="12"/>
    </row>
    <row r="85" spans="1:3" x14ac:dyDescent="0.15">
      <c r="A85" s="12"/>
      <c r="B85" s="12"/>
      <c r="C85" s="12"/>
    </row>
    <row r="86" spans="1:3" x14ac:dyDescent="0.15">
      <c r="A86" s="12"/>
      <c r="B86" s="12"/>
      <c r="C86" s="12"/>
    </row>
    <row r="87" spans="1:3" x14ac:dyDescent="0.15">
      <c r="A87" s="12"/>
      <c r="B87" s="12"/>
      <c r="C87" s="12"/>
    </row>
    <row r="88" spans="1:3" x14ac:dyDescent="0.15">
      <c r="A88" s="12"/>
      <c r="B88" s="12"/>
      <c r="C88" s="12"/>
    </row>
    <row r="89" spans="1:3" x14ac:dyDescent="0.15">
      <c r="A89" s="12"/>
      <c r="B89" s="12"/>
      <c r="C89" s="12"/>
    </row>
    <row r="90" spans="1:3" x14ac:dyDescent="0.15">
      <c r="A90" s="12"/>
      <c r="B90" s="12"/>
      <c r="C90" s="12"/>
    </row>
    <row r="91" spans="1:3" x14ac:dyDescent="0.15">
      <c r="A91" s="12"/>
      <c r="B91" s="12"/>
      <c r="C91" s="12"/>
    </row>
    <row r="92" spans="1:3" x14ac:dyDescent="0.15">
      <c r="A92" s="12"/>
      <c r="B92" s="12"/>
      <c r="C92" s="12"/>
    </row>
    <row r="93" spans="1:3" x14ac:dyDescent="0.15">
      <c r="A93" s="12"/>
      <c r="B93" s="12"/>
      <c r="C93" s="12"/>
    </row>
    <row r="94" spans="1:3" x14ac:dyDescent="0.15">
      <c r="A94" s="12"/>
      <c r="B94" s="12"/>
      <c r="C94" s="12"/>
    </row>
    <row r="95" spans="1:3" x14ac:dyDescent="0.15">
      <c r="A95" s="12"/>
      <c r="B95" s="12"/>
      <c r="C95" s="12"/>
    </row>
    <row r="96" spans="1:3" x14ac:dyDescent="0.15">
      <c r="A96" s="12"/>
      <c r="B96" s="12"/>
      <c r="C96" s="12"/>
    </row>
    <row r="97" spans="1:3" x14ac:dyDescent="0.15">
      <c r="A97" s="12"/>
      <c r="B97" s="12"/>
      <c r="C97" s="12"/>
    </row>
    <row r="98" spans="1:3" x14ac:dyDescent="0.15">
      <c r="A98" s="12"/>
      <c r="B98" s="12"/>
      <c r="C98" s="12"/>
    </row>
    <row r="99" spans="1:3" x14ac:dyDescent="0.15">
      <c r="A99" s="12"/>
      <c r="B99" s="12"/>
      <c r="C99" s="12"/>
    </row>
    <row r="100" spans="1:3" x14ac:dyDescent="0.15">
      <c r="A100" s="12"/>
      <c r="B100" s="12"/>
      <c r="C100" s="12"/>
    </row>
    <row r="101" spans="1:3" x14ac:dyDescent="0.15">
      <c r="A101" s="12"/>
      <c r="B101" s="12"/>
      <c r="C101" s="12"/>
    </row>
  </sheetData>
  <dataValidations count="1">
    <dataValidation type="list" allowBlank="1" sqref="C2:C101" xr:uid="{00000000-0002-0000-0200-000000000000}">
      <formula1>PBstatus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7B7B7"/>
    <outlinePr summaryBelow="0" summaryRight="0"/>
  </sheetPr>
  <dimension ref="A1:D22"/>
  <sheetViews>
    <sheetView showGridLines="0" tabSelected="1" zoomScale="200" zoomScaleNormal="200" workbookViewId="0">
      <pane ySplit="1" topLeftCell="A9" activePane="bottomLeft" state="frozen"/>
      <selection pane="bottomLeft" activeCell="C22" sqref="C22"/>
    </sheetView>
  </sheetViews>
  <sheetFormatPr baseColWidth="10" defaultColWidth="12.6640625" defaultRowHeight="13" x14ac:dyDescent="0.15"/>
  <cols>
    <col min="1" max="1" width="6.33203125" customWidth="1"/>
    <col min="2" max="2" width="10.5" style="21" customWidth="1"/>
    <col min="3" max="3" width="50.5" customWidth="1"/>
    <col min="4" max="4" width="14" customWidth="1"/>
  </cols>
  <sheetData>
    <row r="1" spans="1:4" ht="14" x14ac:dyDescent="0.15">
      <c r="A1" s="1" t="s">
        <v>245</v>
      </c>
      <c r="B1" s="19" t="s">
        <v>226</v>
      </c>
      <c r="C1" s="2" t="s">
        <v>246</v>
      </c>
      <c r="D1" s="2" t="s">
        <v>247</v>
      </c>
    </row>
    <row r="2" spans="1:4" ht="14" x14ac:dyDescent="0.15">
      <c r="A2" s="1" t="s">
        <v>248</v>
      </c>
      <c r="B2" s="20">
        <v>45935</v>
      </c>
      <c r="C2" s="2" t="s">
        <v>249</v>
      </c>
      <c r="D2" s="2" t="s">
        <v>19</v>
      </c>
    </row>
    <row r="3" spans="1:4" ht="28" x14ac:dyDescent="0.15">
      <c r="A3" s="1" t="s">
        <v>250</v>
      </c>
      <c r="B3" s="20">
        <v>45953</v>
      </c>
      <c r="C3" s="2" t="s">
        <v>251</v>
      </c>
      <c r="D3" s="2" t="s">
        <v>9</v>
      </c>
    </row>
    <row r="4" spans="1:4" ht="28" x14ac:dyDescent="0.15">
      <c r="A4" s="1" t="s">
        <v>252</v>
      </c>
      <c r="B4" s="20">
        <v>45954</v>
      </c>
      <c r="C4" s="2" t="s">
        <v>253</v>
      </c>
      <c r="D4" s="2" t="s">
        <v>19</v>
      </c>
    </row>
    <row r="5" spans="1:4" ht="28" x14ac:dyDescent="0.15">
      <c r="A5" s="1" t="s">
        <v>254</v>
      </c>
      <c r="B5" s="20">
        <v>45954</v>
      </c>
      <c r="C5" s="2" t="s">
        <v>255</v>
      </c>
      <c r="D5" s="2" t="s">
        <v>19</v>
      </c>
    </row>
    <row r="6" spans="1:4" ht="28" x14ac:dyDescent="0.15">
      <c r="A6" s="1" t="s">
        <v>256</v>
      </c>
      <c r="B6" s="20">
        <v>45954</v>
      </c>
      <c r="C6" s="2" t="s">
        <v>257</v>
      </c>
      <c r="D6" s="2" t="s">
        <v>19</v>
      </c>
    </row>
    <row r="7" spans="1:4" ht="14" x14ac:dyDescent="0.15">
      <c r="A7" s="1" t="s">
        <v>258</v>
      </c>
      <c r="B7" s="20">
        <v>45957</v>
      </c>
      <c r="C7" s="2" t="s">
        <v>259</v>
      </c>
      <c r="D7" s="2" t="s">
        <v>9</v>
      </c>
    </row>
    <row r="8" spans="1:4" ht="14" x14ac:dyDescent="0.15">
      <c r="A8" s="1" t="s">
        <v>260</v>
      </c>
      <c r="B8" s="20">
        <v>45957</v>
      </c>
      <c r="C8" s="2" t="s">
        <v>261</v>
      </c>
      <c r="D8" s="2" t="s">
        <v>9</v>
      </c>
    </row>
    <row r="9" spans="1:4" ht="14" x14ac:dyDescent="0.15">
      <c r="A9" s="1" t="s">
        <v>262</v>
      </c>
      <c r="B9" s="20">
        <v>45957</v>
      </c>
      <c r="C9" s="2" t="s">
        <v>263</v>
      </c>
      <c r="D9" s="2" t="s">
        <v>9</v>
      </c>
    </row>
    <row r="10" spans="1:4" ht="14" x14ac:dyDescent="0.15">
      <c r="A10" s="1" t="s">
        <v>264</v>
      </c>
      <c r="B10" s="20">
        <v>45957</v>
      </c>
      <c r="C10" s="2" t="s">
        <v>265</v>
      </c>
      <c r="D10" s="2" t="s">
        <v>19</v>
      </c>
    </row>
    <row r="11" spans="1:4" ht="14" x14ac:dyDescent="0.15">
      <c r="A11" s="1" t="s">
        <v>266</v>
      </c>
      <c r="B11" s="20">
        <v>45958</v>
      </c>
      <c r="C11" s="2" t="s">
        <v>267</v>
      </c>
      <c r="D11" s="2" t="s">
        <v>16</v>
      </c>
    </row>
    <row r="12" spans="1:4" ht="14" x14ac:dyDescent="0.15">
      <c r="A12" s="1" t="s">
        <v>268</v>
      </c>
      <c r="B12" s="20">
        <v>45958</v>
      </c>
      <c r="C12" s="2" t="s">
        <v>269</v>
      </c>
      <c r="D12" s="2" t="s">
        <v>16</v>
      </c>
    </row>
    <row r="13" spans="1:4" ht="14" x14ac:dyDescent="0.15">
      <c r="A13" s="1" t="s">
        <v>270</v>
      </c>
      <c r="B13" s="20">
        <v>45958</v>
      </c>
      <c r="C13" s="2" t="s">
        <v>271</v>
      </c>
      <c r="D13" s="2" t="s">
        <v>16</v>
      </c>
    </row>
    <row r="14" spans="1:4" ht="14" x14ac:dyDescent="0.15">
      <c r="A14" s="1" t="s">
        <v>272</v>
      </c>
      <c r="B14" s="20">
        <v>45959</v>
      </c>
      <c r="C14" s="2" t="s">
        <v>273</v>
      </c>
      <c r="D14" s="2" t="s">
        <v>19</v>
      </c>
    </row>
    <row r="15" spans="1:4" ht="14" x14ac:dyDescent="0.15">
      <c r="A15" s="1" t="s">
        <v>274</v>
      </c>
      <c r="B15" s="20">
        <v>45959</v>
      </c>
      <c r="C15" s="2" t="s">
        <v>275</v>
      </c>
      <c r="D15" s="2" t="s">
        <v>16</v>
      </c>
    </row>
    <row r="16" spans="1:4" ht="14" x14ac:dyDescent="0.15">
      <c r="A16" s="1" t="s">
        <v>276</v>
      </c>
      <c r="B16" s="20">
        <v>45959</v>
      </c>
      <c r="C16" s="2" t="s">
        <v>277</v>
      </c>
      <c r="D16" s="2" t="s">
        <v>16</v>
      </c>
    </row>
    <row r="17" spans="1:4" ht="28" x14ac:dyDescent="0.15">
      <c r="A17" s="1" t="s">
        <v>278</v>
      </c>
      <c r="B17" s="20">
        <v>45959</v>
      </c>
      <c r="C17" s="2" t="s">
        <v>279</v>
      </c>
      <c r="D17" s="2" t="s">
        <v>19</v>
      </c>
    </row>
    <row r="18" spans="1:4" ht="14" x14ac:dyDescent="0.15">
      <c r="A18" s="1" t="s">
        <v>280</v>
      </c>
      <c r="B18" s="20">
        <v>45960</v>
      </c>
      <c r="C18" s="2" t="s">
        <v>281</v>
      </c>
      <c r="D18" s="2" t="s">
        <v>13</v>
      </c>
    </row>
    <row r="19" spans="1:4" ht="14" x14ac:dyDescent="0.15">
      <c r="A19" s="1" t="s">
        <v>282</v>
      </c>
      <c r="B19" s="20">
        <v>45960</v>
      </c>
      <c r="C19" s="2" t="s">
        <v>283</v>
      </c>
      <c r="D19" s="2" t="s">
        <v>13</v>
      </c>
    </row>
    <row r="20" spans="1:4" ht="14" x14ac:dyDescent="0.15">
      <c r="A20" s="1" t="s">
        <v>284</v>
      </c>
      <c r="B20" s="20">
        <v>45960</v>
      </c>
      <c r="C20" s="2" t="s">
        <v>285</v>
      </c>
      <c r="D20" s="2" t="s">
        <v>13</v>
      </c>
    </row>
    <row r="21" spans="1:4" ht="14" x14ac:dyDescent="0.15">
      <c r="A21" s="1" t="s">
        <v>286</v>
      </c>
      <c r="B21" s="20">
        <v>45965</v>
      </c>
      <c r="C21" s="18" t="s">
        <v>287</v>
      </c>
      <c r="D21" s="2" t="s">
        <v>19</v>
      </c>
    </row>
    <row r="22" spans="1:4" ht="14" x14ac:dyDescent="0.15">
      <c r="A22" s="16" t="s">
        <v>295</v>
      </c>
      <c r="B22" s="20">
        <v>45969</v>
      </c>
      <c r="C22" s="18" t="s">
        <v>296</v>
      </c>
      <c r="D22" s="2" t="s">
        <v>19</v>
      </c>
    </row>
  </sheetData>
  <phoneticPr fontId="7" type="noConversion"/>
  <dataValidations count="1">
    <dataValidation type="list" allowBlank="1" showErrorMessage="1" sqref="D2:D22" xr:uid="{00000000-0002-0000-0300-000000000000}">
      <formula1>"Giovanni,Leonardo,Nicolas,Riccardo"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7B7B7"/>
    <outlinePr summaryBelow="0" summaryRight="0"/>
  </sheetPr>
  <dimension ref="A1:E11"/>
  <sheetViews>
    <sheetView showGridLines="0" zoomScale="200" zoomScaleNormal="200"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25.5" customWidth="1"/>
    <col min="2" max="2" width="3.6640625" customWidth="1"/>
    <col min="3" max="3" width="23.83203125" customWidth="1"/>
    <col min="4" max="4" width="3.5" customWidth="1"/>
    <col min="5" max="5" width="24.83203125" customWidth="1"/>
  </cols>
  <sheetData>
    <row r="1" spans="1:5" ht="15.75" customHeight="1" x14ac:dyDescent="0.15">
      <c r="A1" s="1" t="s">
        <v>288</v>
      </c>
      <c r="B1" s="1"/>
      <c r="C1" s="1" t="s">
        <v>289</v>
      </c>
      <c r="D1" s="1"/>
      <c r="E1" s="1" t="s">
        <v>290</v>
      </c>
    </row>
    <row r="2" spans="1:5" ht="15.75" customHeight="1" x14ac:dyDescent="0.15">
      <c r="A2" s="1" t="s">
        <v>291</v>
      </c>
      <c r="B2" s="1"/>
      <c r="C2" s="1" t="s">
        <v>292</v>
      </c>
      <c r="D2" s="1"/>
      <c r="E2" s="1" t="s">
        <v>9</v>
      </c>
    </row>
    <row r="3" spans="1:5" ht="15.75" customHeight="1" x14ac:dyDescent="0.15">
      <c r="A3" s="1" t="s">
        <v>292</v>
      </c>
      <c r="B3" s="1"/>
      <c r="C3" s="1" t="s">
        <v>293</v>
      </c>
      <c r="D3" s="1"/>
      <c r="E3" s="1" t="s">
        <v>13</v>
      </c>
    </row>
    <row r="4" spans="1:5" ht="15.75" customHeight="1" x14ac:dyDescent="0.15">
      <c r="A4" s="1" t="s">
        <v>10</v>
      </c>
      <c r="B4" s="1"/>
      <c r="C4" s="1" t="s">
        <v>10</v>
      </c>
      <c r="D4" s="1"/>
      <c r="E4" s="1" t="s">
        <v>16</v>
      </c>
    </row>
    <row r="5" spans="1:5" ht="15.75" customHeight="1" x14ac:dyDescent="0.15">
      <c r="A5" s="1"/>
      <c r="B5" s="1"/>
      <c r="C5" s="1" t="s">
        <v>294</v>
      </c>
      <c r="E5" s="1" t="s">
        <v>19</v>
      </c>
    </row>
    <row r="6" spans="1:5" ht="15.75" customHeight="1" x14ac:dyDescent="0.15">
      <c r="A6" s="1"/>
      <c r="B6" s="1"/>
      <c r="C6" s="1"/>
      <c r="D6" s="1"/>
      <c r="E6" s="1"/>
    </row>
    <row r="7" spans="1:5" ht="15.75" customHeight="1" x14ac:dyDescent="0.15">
      <c r="A7" s="1"/>
      <c r="B7" s="1"/>
      <c r="C7" s="1"/>
      <c r="D7" s="1"/>
      <c r="E7" s="1"/>
    </row>
    <row r="8" spans="1:5" ht="15.75" customHeight="1" x14ac:dyDescent="0.15">
      <c r="A8" s="1"/>
      <c r="B8" s="1"/>
      <c r="C8" s="1"/>
      <c r="D8" s="1"/>
      <c r="E8" s="1"/>
    </row>
    <row r="9" spans="1:5" ht="15.75" customHeight="1" x14ac:dyDescent="0.15">
      <c r="A9" s="1"/>
      <c r="B9" s="1"/>
      <c r="C9" s="1"/>
      <c r="D9" s="1"/>
      <c r="E9" s="1"/>
    </row>
    <row r="10" spans="1:5" ht="15.75" customHeight="1" x14ac:dyDescent="0.15">
      <c r="A10" s="1"/>
      <c r="B10" s="1"/>
      <c r="C10" s="1"/>
      <c r="D10" s="1"/>
      <c r="E10" s="1"/>
    </row>
    <row r="11" spans="1:5" ht="15.75" customHeight="1" x14ac:dyDescent="0.15">
      <c r="A11" s="1"/>
      <c r="B11" s="1"/>
      <c r="C11" s="1"/>
      <c r="D11" s="1"/>
      <c r="E11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4</vt:i4>
      </vt:variant>
    </vt:vector>
  </HeadingPairs>
  <TitlesOfParts>
    <vt:vector size="9" baseType="lpstr">
      <vt:lpstr>Sprint Backlog</vt:lpstr>
      <vt:lpstr>Burndown Chart</vt:lpstr>
      <vt:lpstr>Product Backlog</vt:lpstr>
      <vt:lpstr>Change Log</vt:lpstr>
      <vt:lpstr>Setup</vt:lpstr>
      <vt:lpstr>DTnames</vt:lpstr>
      <vt:lpstr>PBInames</vt:lpstr>
      <vt:lpstr>PBstatus</vt:lpstr>
      <vt:lpstr>SBstatus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Leone</cp:lastModifiedBy>
  <dcterms:modified xsi:type="dcterms:W3CDTF">2025-11-08T14:13:18Z</dcterms:modified>
</cp:coreProperties>
</file>